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19200" windowHeight="7900" activeTab="2"/>
  </bookViews>
  <sheets>
    <sheet name="Index" sheetId="16" r:id="rId1"/>
    <sheet name="Assumptions" sheetId="13" r:id="rId2"/>
    <sheet name="Historical " sheetId="3" r:id="rId3"/>
    <sheet name="Model" sheetId="4" r:id="rId4"/>
    <sheet name="Ratio Analysis" sheetId="14" r:id="rId5"/>
    <sheet name="Summary" sheetId="15" r:id="rId6"/>
    <sheet name="Scenarios" sheetId="7" r:id="rId7"/>
    <sheet name="Comp" sheetId="8" r:id="rId8"/>
    <sheet name="Comps Data" sheetId="9" r:id="rId9"/>
    <sheet name="Market Data" sheetId="10" r:id="rId10"/>
    <sheet name="WACC" sheetId="12" r:id="rId11"/>
    <sheet name="Beta" sheetId="11" r:id="rId12"/>
  </sheets>
  <definedNames>
    <definedName name="_xlnm._FilterDatabase" localSheetId="11" hidden="1">Beta!$M$5:$N$66</definedName>
    <definedName name="_xlnm._FilterDatabase" localSheetId="9" hidden="1">'Market Data'!$B$5:$C$2482</definedName>
    <definedName name="_xlnm._FilterDatabase" localSheetId="3" hidden="1">Model!$E$7:$L$20</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0" i="4" l="1"/>
  <c r="H132" i="4"/>
  <c r="G9" i="10" l="1"/>
  <c r="G7" i="10"/>
  <c r="G7" i="4" l="1"/>
  <c r="H5" i="7"/>
  <c r="I5" i="7" s="1"/>
  <c r="J5" i="7" s="1"/>
  <c r="K5" i="7" s="1"/>
  <c r="L5" i="7" s="1"/>
  <c r="M5" i="7" s="1"/>
  <c r="N5" i="7" s="1"/>
  <c r="O5" i="7" s="1"/>
  <c r="P5" i="7" s="1"/>
  <c r="Q5" i="7" s="1"/>
  <c r="E7" i="7"/>
  <c r="H7" i="7" s="1"/>
  <c r="I7" i="7" s="1"/>
  <c r="J7" i="7" s="1"/>
  <c r="K7" i="7" s="1"/>
  <c r="L7" i="7" s="1"/>
  <c r="M7" i="7" s="1"/>
  <c r="N7" i="7" s="1"/>
  <c r="O7" i="7" s="1"/>
  <c r="P7" i="7" s="1"/>
  <c r="Q7" i="7" s="1"/>
  <c r="E6" i="7"/>
  <c r="H6" i="7" s="1"/>
  <c r="I6" i="7" s="1"/>
  <c r="J6" i="7" s="1"/>
  <c r="K6" i="7" s="1"/>
  <c r="L6" i="7" s="1"/>
  <c r="M6" i="7" s="1"/>
  <c r="N6" i="7" s="1"/>
  <c r="O6" i="7" s="1"/>
  <c r="P6" i="7" s="1"/>
  <c r="Q6" i="7" s="1"/>
  <c r="I8" i="4" l="1"/>
  <c r="F23" i="14" l="1"/>
  <c r="G23" i="14"/>
  <c r="H23" i="14"/>
  <c r="E23" i="14"/>
  <c r="M15" i="4"/>
  <c r="N15" i="4" s="1"/>
  <c r="K10" i="11" l="1"/>
  <c r="F82" i="11"/>
  <c r="F83" i="11"/>
  <c r="F84" i="11"/>
  <c r="F85" i="11"/>
  <c r="F86" i="11"/>
  <c r="F87" i="11"/>
  <c r="F88" i="11"/>
  <c r="F89" i="11"/>
  <c r="D82" i="11"/>
  <c r="D83" i="11"/>
  <c r="D84" i="11"/>
  <c r="D85" i="11"/>
  <c r="D86" i="11"/>
  <c r="D87" i="11"/>
  <c r="D88" i="11"/>
  <c r="D89" i="11"/>
  <c r="K6" i="11" l="1"/>
  <c r="F81" i="11"/>
  <c r="D81" i="11"/>
  <c r="H77" i="4" l="1"/>
  <c r="I77" i="4"/>
  <c r="J77" i="4"/>
  <c r="K77" i="4"/>
  <c r="L77" i="4"/>
  <c r="H81" i="4" l="1"/>
  <c r="I74" i="4"/>
  <c r="J74" i="4"/>
  <c r="K74" i="4"/>
  <c r="L74" i="4"/>
  <c r="H74" i="4"/>
  <c r="I10" i="15" l="1"/>
  <c r="I8" i="15"/>
  <c r="K9" i="15" l="1"/>
  <c r="K10" i="15" s="1"/>
  <c r="K7" i="15"/>
  <c r="K8" i="15" s="1"/>
  <c r="J6" i="9" l="1"/>
  <c r="H19" i="8" s="1"/>
  <c r="J22" i="8" s="1"/>
  <c r="E5" i="14" l="1"/>
  <c r="F5" i="14" s="1"/>
  <c r="G5" i="14" s="1"/>
  <c r="H5" i="14" s="1"/>
  <c r="I5" i="14" s="1"/>
  <c r="J5" i="14" s="1"/>
  <c r="K5" i="14" s="1"/>
  <c r="L5" i="14" s="1"/>
  <c r="M5" i="14" s="1"/>
  <c r="N5" i="14" s="1"/>
  <c r="O5" i="14" s="1"/>
  <c r="P5" i="14" s="1"/>
  <c r="Q5" i="14" s="1"/>
  <c r="R5" i="14" s="1"/>
  <c r="H146" i="4" l="1"/>
  <c r="L44" i="4" l="1"/>
  <c r="H133" i="4" l="1"/>
  <c r="I6" i="9" l="1"/>
  <c r="I90" i="4"/>
  <c r="I93" i="4"/>
  <c r="J93" i="4"/>
  <c r="K93" i="4"/>
  <c r="L93" i="4"/>
  <c r="H93" i="4"/>
  <c r="I92" i="4"/>
  <c r="J92" i="4"/>
  <c r="K92" i="4"/>
  <c r="L92" i="4"/>
  <c r="H92" i="4"/>
  <c r="C1" i="3" l="1"/>
  <c r="B1" i="10" l="1"/>
  <c r="A1" i="16"/>
  <c r="L158" i="4"/>
  <c r="M143" i="4" l="1"/>
  <c r="M144" i="4" s="1"/>
  <c r="M148" i="4" s="1"/>
  <c r="O138" i="4" l="1"/>
  <c r="M138" i="4"/>
  <c r="I138" i="4"/>
  <c r="J138" i="4" s="1"/>
  <c r="K138" i="4" s="1"/>
  <c r="L138" i="4" s="1"/>
  <c r="H134" i="4"/>
  <c r="H127" i="4"/>
  <c r="N140" i="4" l="1"/>
  <c r="L156" i="4"/>
  <c r="L162" i="4" s="1"/>
  <c r="O140" i="4"/>
  <c r="P138" i="4"/>
  <c r="P140" i="4" s="1"/>
  <c r="B25" i="13"/>
  <c r="B26" i="13" s="1"/>
  <c r="B27" i="13" s="1"/>
  <c r="B28" i="13" s="1"/>
  <c r="D18" i="13"/>
  <c r="D19" i="13" s="1"/>
  <c r="M18" i="12"/>
  <c r="M19" i="12"/>
  <c r="L21" i="12"/>
  <c r="K37" i="12" s="1"/>
  <c r="L11" i="12"/>
  <c r="L12" i="12"/>
  <c r="L13" i="12"/>
  <c r="L14" i="12"/>
  <c r="L15" i="12"/>
  <c r="L10" i="12"/>
  <c r="L18" i="12" l="1"/>
  <c r="L19" i="12"/>
  <c r="Q138" i="4"/>
  <c r="J19" i="8"/>
  <c r="P19" i="8"/>
  <c r="O19" i="8"/>
  <c r="N19" i="8"/>
  <c r="P9" i="8"/>
  <c r="P10" i="8"/>
  <c r="P11" i="8"/>
  <c r="P12" i="8"/>
  <c r="P13" i="8"/>
  <c r="P8" i="8"/>
  <c r="O9" i="8"/>
  <c r="O10" i="8"/>
  <c r="O11" i="8"/>
  <c r="O12" i="8"/>
  <c r="O13" i="8"/>
  <c r="O8" i="8"/>
  <c r="N9" i="8"/>
  <c r="N10" i="8"/>
  <c r="N11" i="8"/>
  <c r="N12" i="8"/>
  <c r="N13" i="8"/>
  <c r="N8" i="8"/>
  <c r="K19" i="8"/>
  <c r="K9" i="8"/>
  <c r="K10" i="8"/>
  <c r="K11" i="8"/>
  <c r="K12" i="8"/>
  <c r="K13" i="8"/>
  <c r="K8" i="8"/>
  <c r="J9" i="8"/>
  <c r="I11" i="12" s="1"/>
  <c r="J10" i="8"/>
  <c r="I12" i="12" s="1"/>
  <c r="J11" i="8"/>
  <c r="I13" i="12" s="1"/>
  <c r="J12" i="8"/>
  <c r="I14" i="12" s="1"/>
  <c r="J13" i="8"/>
  <c r="I15" i="12" s="1"/>
  <c r="J8" i="8"/>
  <c r="I10" i="12" s="1"/>
  <c r="H9" i="8"/>
  <c r="H10" i="8"/>
  <c r="H11" i="8"/>
  <c r="H12" i="8"/>
  <c r="H13" i="8"/>
  <c r="H8" i="8"/>
  <c r="G9" i="8"/>
  <c r="G10" i="8"/>
  <c r="G11" i="8"/>
  <c r="G12" i="8"/>
  <c r="G13" i="8"/>
  <c r="G19" i="8"/>
  <c r="G8" i="8"/>
  <c r="I10" i="8" l="1"/>
  <c r="T10" i="8" s="1"/>
  <c r="I8" i="8"/>
  <c r="H10" i="12" s="1"/>
  <c r="J10" i="12" s="1"/>
  <c r="H22" i="8"/>
  <c r="I13" i="8"/>
  <c r="L13" i="8" s="1"/>
  <c r="I9" i="8"/>
  <c r="L9" i="8" s="1"/>
  <c r="I19" i="8"/>
  <c r="T19" i="8" s="1"/>
  <c r="I12" i="8"/>
  <c r="T12" i="8" s="1"/>
  <c r="I11" i="8"/>
  <c r="L11" i="8" s="1"/>
  <c r="J24" i="8"/>
  <c r="I21" i="12"/>
  <c r="H24" i="8"/>
  <c r="J23" i="8"/>
  <c r="H23" i="8"/>
  <c r="R138" i="4"/>
  <c r="R140" i="4" s="1"/>
  <c r="Q140" i="4"/>
  <c r="K10" i="12" l="1"/>
  <c r="L8" i="8"/>
  <c r="R8" i="8" s="1"/>
  <c r="H12" i="12"/>
  <c r="J12" i="12" s="1"/>
  <c r="N12" i="12" s="1"/>
  <c r="L10" i="8"/>
  <c r="R10" i="8" s="1"/>
  <c r="T8" i="8"/>
  <c r="H11" i="12"/>
  <c r="K11" i="12" s="1"/>
  <c r="T13" i="8"/>
  <c r="T9" i="8"/>
  <c r="H15" i="12"/>
  <c r="K15" i="12" s="1"/>
  <c r="H14" i="12"/>
  <c r="L12" i="8"/>
  <c r="R12" i="8" s="1"/>
  <c r="T11" i="8"/>
  <c r="H21" i="12"/>
  <c r="K31" i="12" s="1"/>
  <c r="L19" i="8"/>
  <c r="S19" i="8" s="1"/>
  <c r="H13" i="12"/>
  <c r="K32" i="12"/>
  <c r="R13" i="8"/>
  <c r="S13" i="8"/>
  <c r="N10" i="12"/>
  <c r="R9" i="8"/>
  <c r="S9" i="8"/>
  <c r="S11" i="8"/>
  <c r="R11" i="8"/>
  <c r="S138" i="4"/>
  <c r="S140" i="4" s="1"/>
  <c r="S8" i="8" l="1"/>
  <c r="K12" i="12"/>
  <c r="S10" i="8"/>
  <c r="T17" i="8"/>
  <c r="J11" i="12"/>
  <c r="N11" i="12" s="1"/>
  <c r="J15" i="12"/>
  <c r="N15" i="12" s="1"/>
  <c r="K14" i="12"/>
  <c r="J14" i="12"/>
  <c r="N14" i="12" s="1"/>
  <c r="J21" i="12"/>
  <c r="S12" i="8"/>
  <c r="T16" i="8"/>
  <c r="D24" i="8" s="1"/>
  <c r="I24" i="8" s="1"/>
  <c r="K33" i="12"/>
  <c r="K36" i="12" s="1"/>
  <c r="K38" i="12" s="1"/>
  <c r="R19" i="8"/>
  <c r="R16" i="8"/>
  <c r="D22" i="8" s="1"/>
  <c r="K21" i="12"/>
  <c r="K28" i="12"/>
  <c r="K29" i="12" s="1"/>
  <c r="K13" i="12"/>
  <c r="J13" i="12"/>
  <c r="R17" i="8"/>
  <c r="T138" i="4"/>
  <c r="T140" i="4" s="1"/>
  <c r="I107" i="4"/>
  <c r="J107" i="4"/>
  <c r="K107" i="4"/>
  <c r="L107" i="4"/>
  <c r="H107" i="4"/>
  <c r="I106" i="4"/>
  <c r="J106" i="4"/>
  <c r="K106" i="4"/>
  <c r="L106" i="4"/>
  <c r="H106" i="4"/>
  <c r="I105" i="4"/>
  <c r="J105" i="4"/>
  <c r="K105" i="4"/>
  <c r="L105" i="4"/>
  <c r="H105" i="4"/>
  <c r="I104" i="4"/>
  <c r="J104" i="4"/>
  <c r="K104" i="4"/>
  <c r="L104" i="4"/>
  <c r="H104" i="4"/>
  <c r="S17" i="8" l="1"/>
  <c r="S16" i="8"/>
  <c r="D23" i="8" s="1"/>
  <c r="G23" i="8" s="1"/>
  <c r="I23" i="8" s="1"/>
  <c r="K23" i="8" s="1"/>
  <c r="G22" i="8"/>
  <c r="I22" i="8" s="1"/>
  <c r="K22" i="8" s="1"/>
  <c r="K24" i="8"/>
  <c r="G24" i="8"/>
  <c r="N13" i="12"/>
  <c r="J18" i="12"/>
  <c r="J19" i="12"/>
  <c r="K18" i="12"/>
  <c r="K19" i="12"/>
  <c r="I108" i="4"/>
  <c r="U138" i="4"/>
  <c r="U140" i="4" s="1"/>
  <c r="J108" i="4"/>
  <c r="H108" i="4"/>
  <c r="H147" i="4" s="1"/>
  <c r="L108" i="4"/>
  <c r="K108" i="4"/>
  <c r="H9" i="15" l="1"/>
  <c r="H10" i="15" s="1"/>
  <c r="H7" i="15"/>
  <c r="H8" i="15" s="1"/>
  <c r="L147" i="4"/>
  <c r="J147" i="4"/>
  <c r="I147" i="4"/>
  <c r="K147" i="4"/>
  <c r="N19" i="12"/>
  <c r="N18" i="12"/>
  <c r="V138" i="4"/>
  <c r="V140" i="4" s="1"/>
  <c r="I34" i="4"/>
  <c r="J34" i="4"/>
  <c r="K34" i="4"/>
  <c r="L34" i="4"/>
  <c r="H34" i="4"/>
  <c r="I36" i="4"/>
  <c r="J36" i="4"/>
  <c r="K36" i="4"/>
  <c r="L36" i="4"/>
  <c r="I33" i="4"/>
  <c r="J33" i="4"/>
  <c r="K33" i="4"/>
  <c r="L33" i="4"/>
  <c r="I31" i="4"/>
  <c r="I113" i="4" s="1"/>
  <c r="J31" i="4"/>
  <c r="J113" i="4" s="1"/>
  <c r="K31" i="4"/>
  <c r="K113" i="4" s="1"/>
  <c r="L31" i="4"/>
  <c r="L113" i="4" s="1"/>
  <c r="I29" i="4"/>
  <c r="J29" i="4"/>
  <c r="K29" i="4"/>
  <c r="L29" i="4"/>
  <c r="I28" i="4"/>
  <c r="J28" i="4"/>
  <c r="K28" i="4"/>
  <c r="L28" i="4"/>
  <c r="H29" i="4"/>
  <c r="H28" i="4"/>
  <c r="W138" i="4" l="1"/>
  <c r="X138" i="4" s="1"/>
  <c r="L121" i="4"/>
  <c r="K121" i="4"/>
  <c r="J121" i="4"/>
  <c r="I121" i="4"/>
  <c r="W140" i="4" l="1"/>
  <c r="J141" i="3"/>
  <c r="H98" i="4" s="1"/>
  <c r="K141" i="3"/>
  <c r="I98" i="4" s="1"/>
  <c r="L141" i="3"/>
  <c r="J98" i="4" s="1"/>
  <c r="M141" i="3"/>
  <c r="K98" i="4" s="1"/>
  <c r="N141" i="3"/>
  <c r="L98" i="4" s="1"/>
  <c r="M97" i="4" s="1"/>
  <c r="J90" i="4" l="1"/>
  <c r="K90" i="4"/>
  <c r="L90" i="4"/>
  <c r="H90" i="4"/>
  <c r="I91" i="4"/>
  <c r="J91" i="4"/>
  <c r="K91" i="4"/>
  <c r="L91" i="4"/>
  <c r="H91" i="4"/>
  <c r="I89" i="4"/>
  <c r="J89" i="4"/>
  <c r="K89" i="4"/>
  <c r="L89" i="4"/>
  <c r="H89" i="4"/>
  <c r="I83" i="4"/>
  <c r="J83" i="4"/>
  <c r="K83" i="4"/>
  <c r="L83" i="4"/>
  <c r="H83" i="4"/>
  <c r="J123" i="3"/>
  <c r="L123" i="3"/>
  <c r="I82" i="4"/>
  <c r="J82" i="4"/>
  <c r="K82" i="4"/>
  <c r="L82" i="4"/>
  <c r="H82" i="4"/>
  <c r="I81" i="4"/>
  <c r="J81" i="4"/>
  <c r="K81" i="4"/>
  <c r="L81" i="4"/>
  <c r="I85" i="4"/>
  <c r="J85" i="4"/>
  <c r="K85" i="4"/>
  <c r="L85" i="4"/>
  <c r="H85" i="4"/>
  <c r="L94" i="4" l="1"/>
  <c r="J94" i="4"/>
  <c r="I94" i="4"/>
  <c r="K94" i="4"/>
  <c r="H119" i="4"/>
  <c r="H94" i="4"/>
  <c r="H86" i="4"/>
  <c r="I86" i="4"/>
  <c r="J86" i="4"/>
  <c r="L86" i="4"/>
  <c r="K86" i="4"/>
  <c r="K93" i="3" l="1"/>
  <c r="I76" i="4" s="1"/>
  <c r="L93" i="3"/>
  <c r="J76" i="4" s="1"/>
  <c r="M93" i="3"/>
  <c r="K76" i="4" s="1"/>
  <c r="N93" i="3"/>
  <c r="L76" i="4" s="1"/>
  <c r="J93" i="3"/>
  <c r="H76" i="4" s="1"/>
  <c r="K108" i="3"/>
  <c r="L108" i="3"/>
  <c r="M108" i="3"/>
  <c r="N108" i="3"/>
  <c r="J108" i="3"/>
  <c r="K94" i="3" l="1"/>
  <c r="K109" i="3" s="1"/>
  <c r="K111" i="3" s="1"/>
  <c r="M94" i="3"/>
  <c r="M109" i="3" s="1"/>
  <c r="M111" i="3" s="1"/>
  <c r="L94" i="3"/>
  <c r="L109" i="3" s="1"/>
  <c r="L111" i="3" s="1"/>
  <c r="J94" i="3"/>
  <c r="J109" i="3" s="1"/>
  <c r="J111" i="3" s="1"/>
  <c r="N94" i="3"/>
  <c r="N109" i="3" s="1"/>
  <c r="N111" i="3" s="1"/>
  <c r="I75" i="4"/>
  <c r="I145" i="4" s="1"/>
  <c r="J75" i="4"/>
  <c r="J145" i="4" s="1"/>
  <c r="K75" i="4"/>
  <c r="K145" i="4" s="1"/>
  <c r="L75" i="4"/>
  <c r="L145" i="4" s="1"/>
  <c r="H75" i="4"/>
  <c r="H145" i="4" s="1"/>
  <c r="I64" i="4" l="1"/>
  <c r="J64" i="4"/>
  <c r="K64" i="4"/>
  <c r="L64" i="4"/>
  <c r="I63" i="4"/>
  <c r="I65" i="4" s="1"/>
  <c r="J63" i="4"/>
  <c r="J65" i="4" s="1"/>
  <c r="K63" i="4"/>
  <c r="L63" i="4"/>
  <c r="I60" i="4"/>
  <c r="J60" i="4"/>
  <c r="K60" i="4"/>
  <c r="L60" i="4"/>
  <c r="M60" i="4" s="1"/>
  <c r="N60" i="4" s="1"/>
  <c r="O60" i="4" s="1"/>
  <c r="P60" i="4" s="1"/>
  <c r="Q60" i="4" s="1"/>
  <c r="R60" i="4" s="1"/>
  <c r="S60" i="4" s="1"/>
  <c r="T60" i="4" s="1"/>
  <c r="U60" i="4" s="1"/>
  <c r="V60" i="4" s="1"/>
  <c r="H60" i="4"/>
  <c r="I57" i="4"/>
  <c r="J57" i="4"/>
  <c r="K57" i="4"/>
  <c r="L57" i="4"/>
  <c r="M57" i="4" s="1"/>
  <c r="H57" i="4"/>
  <c r="K59" i="4"/>
  <c r="L59" i="4"/>
  <c r="J59" i="4"/>
  <c r="K56" i="4"/>
  <c r="L56" i="4"/>
  <c r="J56" i="4"/>
  <c r="I51" i="4"/>
  <c r="J51" i="4"/>
  <c r="K51" i="4"/>
  <c r="L51" i="4"/>
  <c r="M51" i="4" s="1"/>
  <c r="N51" i="4" s="1"/>
  <c r="O51" i="4" s="1"/>
  <c r="P51" i="4" s="1"/>
  <c r="Q51" i="4" s="1"/>
  <c r="R51" i="4" s="1"/>
  <c r="S51" i="4" s="1"/>
  <c r="T51" i="4" s="1"/>
  <c r="U51" i="4" s="1"/>
  <c r="V51" i="4" s="1"/>
  <c r="I50" i="4"/>
  <c r="J50" i="4"/>
  <c r="K50" i="4"/>
  <c r="L50" i="4"/>
  <c r="M50" i="4" s="1"/>
  <c r="I49" i="4"/>
  <c r="J49" i="4"/>
  <c r="K49" i="4"/>
  <c r="L49" i="4"/>
  <c r="M49" i="4" s="1"/>
  <c r="N49" i="4" s="1"/>
  <c r="O49" i="4" s="1"/>
  <c r="P49" i="4" s="1"/>
  <c r="Q49" i="4" s="1"/>
  <c r="R49" i="4" s="1"/>
  <c r="S49" i="4" s="1"/>
  <c r="T49" i="4" s="1"/>
  <c r="U49" i="4" s="1"/>
  <c r="V49" i="4" s="1"/>
  <c r="I48" i="4"/>
  <c r="I114" i="4" s="1"/>
  <c r="J48" i="4"/>
  <c r="J114" i="4" s="1"/>
  <c r="K48" i="4"/>
  <c r="K114" i="4" s="1"/>
  <c r="L48" i="4"/>
  <c r="L114" i="4" s="1"/>
  <c r="I46" i="4"/>
  <c r="J46" i="4"/>
  <c r="K46" i="4"/>
  <c r="L46" i="4"/>
  <c r="M46" i="4" s="1"/>
  <c r="N46" i="4" s="1"/>
  <c r="O46" i="4" s="1"/>
  <c r="P46" i="4" s="1"/>
  <c r="Q46" i="4" s="1"/>
  <c r="R46" i="4" s="1"/>
  <c r="S46" i="4" s="1"/>
  <c r="T46" i="4" s="1"/>
  <c r="U46" i="4" s="1"/>
  <c r="V46" i="4" s="1"/>
  <c r="I45" i="4"/>
  <c r="J45" i="4"/>
  <c r="K45" i="4"/>
  <c r="L45" i="4"/>
  <c r="I44" i="4"/>
  <c r="J44" i="4"/>
  <c r="K44" i="4"/>
  <c r="I43" i="4"/>
  <c r="J43" i="4"/>
  <c r="K43" i="4"/>
  <c r="I42" i="4"/>
  <c r="E26" i="14" s="1"/>
  <c r="J42" i="4"/>
  <c r="F26" i="14" s="1"/>
  <c r="K42" i="4"/>
  <c r="L42" i="4"/>
  <c r="I56" i="4"/>
  <c r="I59" i="4"/>
  <c r="H59" i="4"/>
  <c r="H56" i="4"/>
  <c r="H64" i="4"/>
  <c r="H63" i="4"/>
  <c r="H26" i="14" l="1"/>
  <c r="G26" i="14"/>
  <c r="M111" i="4"/>
  <c r="K111" i="4"/>
  <c r="K112" i="4" s="1"/>
  <c r="I120" i="4"/>
  <c r="J118" i="4" s="1"/>
  <c r="E33" i="14"/>
  <c r="E32" i="14"/>
  <c r="J120" i="4"/>
  <c r="K118" i="4" s="1"/>
  <c r="K13" i="4" s="1"/>
  <c r="F32" i="14"/>
  <c r="F33" i="14"/>
  <c r="K120" i="4"/>
  <c r="L118" i="4" s="1"/>
  <c r="L13" i="4" s="1"/>
  <c r="M59" i="4"/>
  <c r="N57" i="4"/>
  <c r="O57" i="4" s="1"/>
  <c r="P57" i="4" s="1"/>
  <c r="Q57" i="4" s="1"/>
  <c r="R57" i="4" s="1"/>
  <c r="S57" i="4" s="1"/>
  <c r="T57" i="4" s="1"/>
  <c r="U57" i="4" s="1"/>
  <c r="V57" i="4" s="1"/>
  <c r="M107" i="4"/>
  <c r="K65" i="4"/>
  <c r="G33" i="14" s="1"/>
  <c r="M63" i="4"/>
  <c r="L65" i="4"/>
  <c r="H32" i="14" s="1"/>
  <c r="M83" i="4"/>
  <c r="N50" i="4"/>
  <c r="E157" i="4"/>
  <c r="L159" i="4" s="1"/>
  <c r="E158" i="4"/>
  <c r="L157" i="4"/>
  <c r="L120" i="4"/>
  <c r="M118" i="4" s="1"/>
  <c r="J111" i="4"/>
  <c r="J112" i="4" s="1"/>
  <c r="H120" i="4"/>
  <c r="I118" i="4" s="1"/>
  <c r="L111" i="4"/>
  <c r="L112" i="4" s="1"/>
  <c r="H65" i="4"/>
  <c r="D32" i="14" s="1"/>
  <c r="I61" i="4"/>
  <c r="I66" i="4" s="1"/>
  <c r="J61" i="4"/>
  <c r="J66" i="4" s="1"/>
  <c r="L61" i="4"/>
  <c r="K61" i="4"/>
  <c r="H61" i="4"/>
  <c r="I52" i="4"/>
  <c r="E31" i="14" s="1"/>
  <c r="J52" i="4"/>
  <c r="F31" i="14" s="1"/>
  <c r="K52" i="4"/>
  <c r="L52" i="4"/>
  <c r="H51" i="4"/>
  <c r="H50" i="4"/>
  <c r="H49" i="4"/>
  <c r="H48" i="4"/>
  <c r="H114" i="4" s="1"/>
  <c r="I111" i="4" s="1"/>
  <c r="I112" i="4" s="1"/>
  <c r="M112" i="4" s="1"/>
  <c r="N112" i="4" s="1"/>
  <c r="O112" i="4" s="1"/>
  <c r="P112" i="4" s="1"/>
  <c r="Q112" i="4" s="1"/>
  <c r="R112" i="4" s="1"/>
  <c r="S112" i="4" s="1"/>
  <c r="T112" i="4" s="1"/>
  <c r="U112" i="4" s="1"/>
  <c r="V112" i="4" s="1"/>
  <c r="H46" i="4"/>
  <c r="H45" i="4"/>
  <c r="H44" i="4"/>
  <c r="H43" i="4"/>
  <c r="H42" i="4"/>
  <c r="D26" i="14" s="1"/>
  <c r="H36" i="4"/>
  <c r="H33" i="4"/>
  <c r="H121" i="4" s="1"/>
  <c r="H31" i="4"/>
  <c r="G31" i="14" l="1"/>
  <c r="J119" i="4"/>
  <c r="H31" i="14"/>
  <c r="J146" i="4"/>
  <c r="K146" i="4"/>
  <c r="K119" i="4"/>
  <c r="J13" i="4"/>
  <c r="K66" i="4"/>
  <c r="K68" i="4" s="1"/>
  <c r="I146" i="4"/>
  <c r="L146" i="4"/>
  <c r="H33" i="14"/>
  <c r="G32" i="14"/>
  <c r="D33" i="14"/>
  <c r="L160" i="4"/>
  <c r="Q156" i="4" s="1"/>
  <c r="N63" i="4"/>
  <c r="L119" i="4"/>
  <c r="N83" i="4"/>
  <c r="O50" i="4"/>
  <c r="L66" i="4"/>
  <c r="J68" i="4"/>
  <c r="I119" i="4"/>
  <c r="I13" i="4"/>
  <c r="H113" i="4"/>
  <c r="H66" i="4"/>
  <c r="I68" i="4"/>
  <c r="H52" i="4"/>
  <c r="D31" i="14" s="1"/>
  <c r="I25" i="4"/>
  <c r="J25" i="4"/>
  <c r="K25" i="4"/>
  <c r="L25" i="4"/>
  <c r="H25" i="4"/>
  <c r="I24" i="4"/>
  <c r="E17" i="14" s="1"/>
  <c r="J24" i="4"/>
  <c r="F17" i="14" s="1"/>
  <c r="K24" i="4"/>
  <c r="G17" i="14" s="1"/>
  <c r="L24" i="4"/>
  <c r="H17" i="14" s="1"/>
  <c r="H24" i="4"/>
  <c r="H20" i="4" s="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7" i="11"/>
  <c r="M13" i="4" l="1"/>
  <c r="M21" i="12"/>
  <c r="N21" i="12" s="1"/>
  <c r="K44" i="12" s="1"/>
  <c r="N13" i="4"/>
  <c r="O13" i="4" s="1"/>
  <c r="P13" i="4" s="1"/>
  <c r="Q13" i="4" s="1"/>
  <c r="R13" i="4" s="1"/>
  <c r="S13" i="4" s="1"/>
  <c r="T13" i="4" s="1"/>
  <c r="U13" i="4" s="1"/>
  <c r="V13" i="4" s="1"/>
  <c r="L20" i="4"/>
  <c r="M20" i="4" s="1"/>
  <c r="N20" i="4" s="1"/>
  <c r="O20" i="4" s="1"/>
  <c r="P20" i="4" s="1"/>
  <c r="Q20" i="4" s="1"/>
  <c r="R20" i="4" s="1"/>
  <c r="S20" i="4" s="1"/>
  <c r="T20" i="4" s="1"/>
  <c r="U20" i="4" s="1"/>
  <c r="V20" i="4" s="1"/>
  <c r="I20" i="4"/>
  <c r="J20" i="4"/>
  <c r="K20" i="4"/>
  <c r="H38" i="14"/>
  <c r="H40" i="14"/>
  <c r="E36" i="14"/>
  <c r="E42" i="14"/>
  <c r="G36" i="14"/>
  <c r="G42" i="14"/>
  <c r="F36" i="14"/>
  <c r="F42" i="14"/>
  <c r="G38" i="14"/>
  <c r="G40" i="14"/>
  <c r="F40" i="14"/>
  <c r="F38" i="14"/>
  <c r="L11" i="4"/>
  <c r="H36" i="14"/>
  <c r="H42" i="14"/>
  <c r="E38" i="14"/>
  <c r="E40" i="14"/>
  <c r="K11" i="4"/>
  <c r="J11" i="4"/>
  <c r="I11" i="4"/>
  <c r="H11" i="4"/>
  <c r="L68" i="4"/>
  <c r="H19" i="4"/>
  <c r="O63" i="4"/>
  <c r="O83" i="4"/>
  <c r="P50" i="4"/>
  <c r="D26" i="13"/>
  <c r="D24" i="13"/>
  <c r="D27" i="13"/>
  <c r="D28" i="13"/>
  <c r="H17" i="4"/>
  <c r="D37" i="14" s="1"/>
  <c r="D25" i="13"/>
  <c r="H14" i="4"/>
  <c r="H10" i="4"/>
  <c r="J18" i="4"/>
  <c r="F39" i="14" s="1"/>
  <c r="J19" i="4"/>
  <c r="F41" i="14" s="1"/>
  <c r="L26" i="4"/>
  <c r="L10" i="4"/>
  <c r="L14" i="4"/>
  <c r="L12" i="4"/>
  <c r="M12" i="4" s="1"/>
  <c r="L17" i="4"/>
  <c r="H37" i="14" s="1"/>
  <c r="I18" i="4"/>
  <c r="E39" i="14" s="1"/>
  <c r="I19" i="4"/>
  <c r="E41" i="14" s="1"/>
  <c r="K14" i="4"/>
  <c r="K10" i="4"/>
  <c r="K12" i="4"/>
  <c r="K17" i="4"/>
  <c r="G37" i="14" s="1"/>
  <c r="I26" i="4"/>
  <c r="I14" i="4"/>
  <c r="I12" i="4"/>
  <c r="I10" i="4"/>
  <c r="I17" i="4"/>
  <c r="E37" i="14" s="1"/>
  <c r="L18" i="4"/>
  <c r="H39" i="14" s="1"/>
  <c r="L19" i="4"/>
  <c r="H41" i="14" s="1"/>
  <c r="J12" i="4"/>
  <c r="J14" i="4"/>
  <c r="J10" i="4"/>
  <c r="J17" i="4"/>
  <c r="F37" i="14" s="1"/>
  <c r="K9" i="4"/>
  <c r="K18" i="4"/>
  <c r="G39" i="14" s="1"/>
  <c r="K19" i="4"/>
  <c r="G41" i="14" s="1"/>
  <c r="H68" i="4"/>
  <c r="H18" i="4"/>
  <c r="J8" i="4"/>
  <c r="J26" i="4"/>
  <c r="K26" i="4"/>
  <c r="L9" i="4"/>
  <c r="J9" i="4"/>
  <c r="L8" i="4"/>
  <c r="H9" i="4"/>
  <c r="I9" i="4"/>
  <c r="K8" i="4"/>
  <c r="H26" i="4"/>
  <c r="D9" i="14" s="1"/>
  <c r="N146" i="4" l="1"/>
  <c r="D41" i="14"/>
  <c r="M19" i="4"/>
  <c r="I41" i="14" s="1"/>
  <c r="M9" i="4"/>
  <c r="N9" i="4" s="1"/>
  <c r="O9" i="4" s="1"/>
  <c r="P9" i="4" s="1"/>
  <c r="Q9" i="4" s="1"/>
  <c r="R9" i="4" s="1"/>
  <c r="S9" i="4" s="1"/>
  <c r="T9" i="4" s="1"/>
  <c r="U9" i="4" s="1"/>
  <c r="V9" i="4" s="1"/>
  <c r="D39" i="14"/>
  <c r="M18" i="4"/>
  <c r="I39" i="14" s="1"/>
  <c r="N12" i="4"/>
  <c r="O12" i="4" s="1"/>
  <c r="P12" i="4" s="1"/>
  <c r="Q12" i="4" s="1"/>
  <c r="R12" i="4" s="1"/>
  <c r="D28" i="14"/>
  <c r="E28" i="14"/>
  <c r="F28" i="14"/>
  <c r="G28" i="14"/>
  <c r="M11" i="4"/>
  <c r="L30" i="4"/>
  <c r="H9" i="14"/>
  <c r="J30" i="4"/>
  <c r="F9" i="14"/>
  <c r="H28" i="14"/>
  <c r="K30" i="4"/>
  <c r="G9" i="14"/>
  <c r="I30" i="4"/>
  <c r="E9" i="14"/>
  <c r="P63" i="4"/>
  <c r="P83" i="4"/>
  <c r="Q50" i="4"/>
  <c r="M10" i="4"/>
  <c r="N10" i="4" s="1"/>
  <c r="O10" i="4" s="1"/>
  <c r="P10" i="4" s="1"/>
  <c r="Q10" i="4" s="1"/>
  <c r="R10" i="4" s="1"/>
  <c r="S10" i="4" s="1"/>
  <c r="T10" i="4" s="1"/>
  <c r="U10" i="4" s="1"/>
  <c r="V10" i="4" s="1"/>
  <c r="M14" i="4"/>
  <c r="M17" i="4"/>
  <c r="I37" i="14" s="1"/>
  <c r="H30" i="4"/>
  <c r="K42" i="12"/>
  <c r="K43" i="12" s="1"/>
  <c r="K45" i="12" s="1"/>
  <c r="K47" i="12" s="1"/>
  <c r="S12" i="4" l="1"/>
  <c r="T12" i="4" s="1"/>
  <c r="U12" i="4" s="1"/>
  <c r="V12" i="4" s="1"/>
  <c r="I28" i="14"/>
  <c r="P146" i="4"/>
  <c r="M113" i="4"/>
  <c r="M31" i="4" s="1"/>
  <c r="M75" i="4" s="1"/>
  <c r="O146" i="4"/>
  <c r="H32" i="4"/>
  <c r="H35" i="4" s="1"/>
  <c r="D10" i="14"/>
  <c r="J32" i="4"/>
  <c r="F10" i="14"/>
  <c r="I32" i="4"/>
  <c r="E10" i="14"/>
  <c r="L32" i="4"/>
  <c r="H10" i="14"/>
  <c r="K32" i="4"/>
  <c r="G10" i="14"/>
  <c r="Q63" i="4"/>
  <c r="R50" i="4"/>
  <c r="Q83" i="4"/>
  <c r="N19" i="4"/>
  <c r="J41" i="14" s="1"/>
  <c r="N17" i="4"/>
  <c r="J37" i="14" s="1"/>
  <c r="N14" i="4"/>
  <c r="N18" i="4"/>
  <c r="J39" i="14" s="1"/>
  <c r="J28" i="14" l="1"/>
  <c r="H142" i="4"/>
  <c r="H143" i="4" s="1"/>
  <c r="H144" i="4" s="1"/>
  <c r="H148" i="4" s="1"/>
  <c r="H150" i="4" s="1"/>
  <c r="Q146" i="4"/>
  <c r="F11" i="14"/>
  <c r="J35" i="4"/>
  <c r="J142" i="4"/>
  <c r="J143" i="4" s="1"/>
  <c r="J144" i="4" s="1"/>
  <c r="J148" i="4" s="1"/>
  <c r="J150" i="4" s="1"/>
  <c r="L35" i="4"/>
  <c r="H11" i="14"/>
  <c r="L142" i="4"/>
  <c r="L143" i="4" s="1"/>
  <c r="L144" i="4" s="1"/>
  <c r="L148" i="4" s="1"/>
  <c r="L150" i="4" s="1"/>
  <c r="E11" i="14"/>
  <c r="I35" i="4"/>
  <c r="I142" i="4"/>
  <c r="I143" i="4" s="1"/>
  <c r="I144" i="4" s="1"/>
  <c r="I148" i="4" s="1"/>
  <c r="I150" i="4" s="1"/>
  <c r="H37" i="4"/>
  <c r="D12" i="14"/>
  <c r="D13" i="14"/>
  <c r="G11" i="14"/>
  <c r="K35" i="4"/>
  <c r="K142" i="4"/>
  <c r="K143" i="4" s="1"/>
  <c r="K144" i="4" s="1"/>
  <c r="K148" i="4" s="1"/>
  <c r="K150" i="4" s="1"/>
  <c r="D11" i="14"/>
  <c r="R63" i="4"/>
  <c r="S50" i="4"/>
  <c r="R83" i="4"/>
  <c r="M8" i="4"/>
  <c r="M24" i="4" s="1"/>
  <c r="N145" i="4"/>
  <c r="O19" i="4"/>
  <c r="K41" i="14" s="1"/>
  <c r="O17" i="4"/>
  <c r="K37" i="14" s="1"/>
  <c r="O18" i="4"/>
  <c r="K39" i="14" s="1"/>
  <c r="O14" i="4"/>
  <c r="H15" i="4"/>
  <c r="K7" i="11"/>
  <c r="J7" i="15" s="1"/>
  <c r="J8" i="15" s="1"/>
  <c r="J9" i="15"/>
  <c r="J10" i="15" s="1"/>
  <c r="E18" i="14" l="1"/>
  <c r="E19" i="14"/>
  <c r="H18" i="14"/>
  <c r="H19" i="14"/>
  <c r="G18" i="14"/>
  <c r="G19" i="14"/>
  <c r="F18" i="14"/>
  <c r="F19" i="14"/>
  <c r="D20" i="14"/>
  <c r="J15" i="4"/>
  <c r="F20" i="14" s="1"/>
  <c r="F12" i="14"/>
  <c r="F13" i="14"/>
  <c r="J37" i="4"/>
  <c r="F21" i="14" s="1"/>
  <c r="K28" i="14"/>
  <c r="K15" i="4"/>
  <c r="G20" i="14" s="1"/>
  <c r="G12" i="14"/>
  <c r="G13" i="14"/>
  <c r="K37" i="4"/>
  <c r="G21" i="14" s="1"/>
  <c r="I15" i="4"/>
  <c r="E20" i="14" s="1"/>
  <c r="E12" i="14"/>
  <c r="E13" i="14"/>
  <c r="I37" i="4"/>
  <c r="E21" i="14" s="1"/>
  <c r="H12" i="14"/>
  <c r="H13" i="14"/>
  <c r="L15" i="4"/>
  <c r="L37" i="4"/>
  <c r="H21" i="14" s="1"/>
  <c r="H16" i="4"/>
  <c r="D43" i="14"/>
  <c r="D14" i="14"/>
  <c r="M44" i="4"/>
  <c r="I36" i="14" s="1"/>
  <c r="S63" i="4"/>
  <c r="T50" i="4"/>
  <c r="S83" i="4"/>
  <c r="M25" i="4"/>
  <c r="M28" i="4"/>
  <c r="M34" i="4"/>
  <c r="N8" i="4"/>
  <c r="N24" i="4" s="1"/>
  <c r="P17" i="4"/>
  <c r="L37" i="14" s="1"/>
  <c r="P19" i="4"/>
  <c r="L41" i="14" s="1"/>
  <c r="P14" i="4"/>
  <c r="P18" i="4"/>
  <c r="L39" i="14" s="1"/>
  <c r="D11" i="12"/>
  <c r="D12" i="12"/>
  <c r="D13" i="12"/>
  <c r="D14" i="12"/>
  <c r="D15" i="12"/>
  <c r="D10" i="12"/>
  <c r="E19" i="8"/>
  <c r="E9" i="8"/>
  <c r="E10" i="8"/>
  <c r="E11" i="8"/>
  <c r="E12" i="8"/>
  <c r="E13" i="8"/>
  <c r="E8" i="8"/>
  <c r="C9" i="8"/>
  <c r="C10" i="8"/>
  <c r="C11" i="8"/>
  <c r="C12" i="8"/>
  <c r="C13" i="8"/>
  <c r="C8" i="8"/>
  <c r="I137" i="4"/>
  <c r="J137" i="4" s="1"/>
  <c r="K137" i="4" s="1"/>
  <c r="L137" i="4" s="1"/>
  <c r="A1" i="4"/>
  <c r="A1" i="14" s="1"/>
  <c r="A1" i="15" s="1"/>
  <c r="I2" i="4"/>
  <c r="J2" i="4" s="1"/>
  <c r="K2" i="4" s="1"/>
  <c r="L2" i="4" s="1"/>
  <c r="M2" i="4" s="1"/>
  <c r="H4" i="7" s="1"/>
  <c r="O15" i="4" l="1"/>
  <c r="R146" i="4"/>
  <c r="L28" i="14"/>
  <c r="J16" i="4"/>
  <c r="F22" i="14" s="1"/>
  <c r="F43" i="14"/>
  <c r="F14" i="14"/>
  <c r="L16" i="4"/>
  <c r="H22" i="14" s="1"/>
  <c r="H43" i="14"/>
  <c r="H14" i="14"/>
  <c r="D22" i="14"/>
  <c r="H20" i="14"/>
  <c r="K16" i="4"/>
  <c r="G22" i="14" s="1"/>
  <c r="G43" i="14"/>
  <c r="G14" i="14"/>
  <c r="I16" i="4"/>
  <c r="E22" i="14" s="1"/>
  <c r="E43" i="14"/>
  <c r="E14" i="14"/>
  <c r="M104" i="4"/>
  <c r="N44" i="4"/>
  <c r="N104" i="4" s="1"/>
  <c r="N81" i="4"/>
  <c r="M81" i="4"/>
  <c r="M114" i="4"/>
  <c r="T63" i="4"/>
  <c r="M85" i="4"/>
  <c r="M26" i="4"/>
  <c r="I9" i="14" s="1"/>
  <c r="M45" i="4"/>
  <c r="I38" i="14" s="1"/>
  <c r="M56" i="4"/>
  <c r="U50" i="4"/>
  <c r="T83" i="4"/>
  <c r="N28" i="4"/>
  <c r="N25" i="4"/>
  <c r="N34" i="4"/>
  <c r="O8" i="4"/>
  <c r="O24" i="4" s="1"/>
  <c r="Q17" i="4"/>
  <c r="M37" i="14" s="1"/>
  <c r="Q18" i="4"/>
  <c r="M39" i="14" s="1"/>
  <c r="Q14" i="4"/>
  <c r="Q19" i="4"/>
  <c r="M41" i="14" s="1"/>
  <c r="N2" i="4"/>
  <c r="N137" i="4"/>
  <c r="C1" i="11"/>
  <c r="A1" i="8"/>
  <c r="C19" i="8" s="1"/>
  <c r="A1" i="7"/>
  <c r="A1" i="9"/>
  <c r="K3" i="4"/>
  <c r="H3" i="4"/>
  <c r="I3" i="4"/>
  <c r="L3" i="4"/>
  <c r="I40" i="14" l="1"/>
  <c r="M106" i="4"/>
  <c r="P15" i="4"/>
  <c r="Q15" i="4" s="1"/>
  <c r="R15" i="4" s="1"/>
  <c r="O2" i="4"/>
  <c r="I4" i="7"/>
  <c r="J36" i="14"/>
  <c r="S146" i="4"/>
  <c r="M28" i="14"/>
  <c r="I20" i="14"/>
  <c r="M16" i="4"/>
  <c r="M48" i="4"/>
  <c r="N111" i="4"/>
  <c r="N113" i="4" s="1"/>
  <c r="N114" i="4" s="1"/>
  <c r="O44" i="4"/>
  <c r="O104" i="4" s="1"/>
  <c r="O81" i="4"/>
  <c r="M86" i="4"/>
  <c r="M105" i="4"/>
  <c r="N85" i="4"/>
  <c r="N86" i="4" s="1"/>
  <c r="U63" i="4"/>
  <c r="U83" i="4"/>
  <c r="V50" i="4"/>
  <c r="V83" i="4" s="1"/>
  <c r="N26" i="4"/>
  <c r="J9" i="14" s="1"/>
  <c r="N45" i="4"/>
  <c r="J38" i="14" s="1"/>
  <c r="N56" i="4"/>
  <c r="N106" i="4" s="1"/>
  <c r="T146" i="4"/>
  <c r="O28" i="4"/>
  <c r="O25" i="4"/>
  <c r="O34" i="4"/>
  <c r="P8" i="4"/>
  <c r="P24" i="4" s="1"/>
  <c r="B1" i="13"/>
  <c r="R17" i="4"/>
  <c r="N37" i="14" s="1"/>
  <c r="R18" i="4"/>
  <c r="N39" i="14" s="1"/>
  <c r="R19" i="4"/>
  <c r="N41" i="14" s="1"/>
  <c r="R14" i="4"/>
  <c r="O137" i="4"/>
  <c r="A1" i="12"/>
  <c r="D21" i="12" s="1"/>
  <c r="J3" i="4"/>
  <c r="S15" i="4" l="1"/>
  <c r="T15" i="4" s="1"/>
  <c r="U15" i="4" s="1"/>
  <c r="V15" i="4" s="1"/>
  <c r="P2" i="4"/>
  <c r="J4" i="7"/>
  <c r="P81" i="4"/>
  <c r="K36" i="14"/>
  <c r="J40" i="14"/>
  <c r="I42" i="14"/>
  <c r="N28" i="14"/>
  <c r="N16" i="4"/>
  <c r="I22" i="14"/>
  <c r="J20" i="14"/>
  <c r="P44" i="4"/>
  <c r="P104" i="4" s="1"/>
  <c r="N105" i="4"/>
  <c r="O111" i="4"/>
  <c r="O113" i="4" s="1"/>
  <c r="O114" i="4" s="1"/>
  <c r="N48" i="4"/>
  <c r="O85" i="4"/>
  <c r="O86" i="4" s="1"/>
  <c r="V63" i="4"/>
  <c r="O26" i="4"/>
  <c r="K9" i="14" s="1"/>
  <c r="O45" i="4"/>
  <c r="K38" i="14" s="1"/>
  <c r="O56" i="4"/>
  <c r="K40" i="14" s="1"/>
  <c r="M108" i="4"/>
  <c r="U146" i="4"/>
  <c r="P25" i="4"/>
  <c r="P28" i="4"/>
  <c r="P34" i="4"/>
  <c r="Q8" i="4"/>
  <c r="Q24" i="4" s="1"/>
  <c r="S17" i="4"/>
  <c r="O37" i="14" s="1"/>
  <c r="S14" i="4"/>
  <c r="S19" i="4"/>
  <c r="O41" i="14" s="1"/>
  <c r="S18" i="4"/>
  <c r="O39" i="14" s="1"/>
  <c r="P137" i="4"/>
  <c r="Q2" i="4" l="1"/>
  <c r="K4" i="7"/>
  <c r="Q81" i="4"/>
  <c r="L36" i="14"/>
  <c r="J42" i="14"/>
  <c r="K20" i="14"/>
  <c r="O28" i="14"/>
  <c r="O16" i="4"/>
  <c r="J22" i="14"/>
  <c r="O106" i="4"/>
  <c r="Q44" i="4"/>
  <c r="M36" i="14" s="1"/>
  <c r="O105" i="4"/>
  <c r="O48" i="4"/>
  <c r="P111" i="4"/>
  <c r="P113" i="4" s="1"/>
  <c r="P114" i="4" s="1"/>
  <c r="N108" i="4"/>
  <c r="P85" i="4"/>
  <c r="P86" i="4" s="1"/>
  <c r="N147" i="4"/>
  <c r="M77" i="4"/>
  <c r="P26" i="4"/>
  <c r="L9" i="14" s="1"/>
  <c r="P56" i="4"/>
  <c r="P106" i="4" s="1"/>
  <c r="P45" i="4"/>
  <c r="L38" i="14" s="1"/>
  <c r="Q25" i="4"/>
  <c r="Q28" i="4"/>
  <c r="Q34" i="4"/>
  <c r="R8" i="4"/>
  <c r="R24" i="4" s="1"/>
  <c r="T17" i="4"/>
  <c r="P37" i="14" s="1"/>
  <c r="T18" i="4"/>
  <c r="P39" i="14" s="1"/>
  <c r="T14" i="4"/>
  <c r="T19" i="4"/>
  <c r="P41" i="14" s="1"/>
  <c r="Q137" i="4"/>
  <c r="O147" i="4" l="1"/>
  <c r="R2" i="4"/>
  <c r="L4" i="7"/>
  <c r="R81" i="4"/>
  <c r="L40" i="14"/>
  <c r="V146" i="4"/>
  <c r="K42" i="14"/>
  <c r="P28" i="14"/>
  <c r="L20" i="14"/>
  <c r="P16" i="4"/>
  <c r="K22" i="14"/>
  <c r="Q104" i="4"/>
  <c r="P105" i="4"/>
  <c r="R44" i="4"/>
  <c r="R104" i="4" s="1"/>
  <c r="P48" i="4"/>
  <c r="Q111" i="4"/>
  <c r="Q113" i="4" s="1"/>
  <c r="Q114" i="4" s="1"/>
  <c r="N77" i="4"/>
  <c r="Q85" i="4"/>
  <c r="Q86" i="4" s="1"/>
  <c r="Q26" i="4"/>
  <c r="M9" i="14" s="1"/>
  <c r="Q56" i="4"/>
  <c r="M40" i="14" s="1"/>
  <c r="Q45" i="4"/>
  <c r="M38" i="14" s="1"/>
  <c r="O108" i="4"/>
  <c r="R28" i="4"/>
  <c r="R25" i="4"/>
  <c r="R34" i="4"/>
  <c r="S8" i="4"/>
  <c r="S24" i="4" s="1"/>
  <c r="U14" i="4"/>
  <c r="U19" i="4"/>
  <c r="Q41" i="14" s="1"/>
  <c r="U17" i="4"/>
  <c r="Q37" i="14" s="1"/>
  <c r="U18" i="4"/>
  <c r="Q39" i="14" s="1"/>
  <c r="R137" i="4"/>
  <c r="S2" i="4" l="1"/>
  <c r="M4" i="7"/>
  <c r="S81" i="4"/>
  <c r="N36" i="14"/>
  <c r="W146" i="4"/>
  <c r="L42" i="14"/>
  <c r="Q28" i="14"/>
  <c r="M20" i="14"/>
  <c r="Q16" i="4"/>
  <c r="L22" i="14"/>
  <c r="Q106" i="4"/>
  <c r="S44" i="4"/>
  <c r="S104" i="4" s="1"/>
  <c r="Q48" i="4"/>
  <c r="R111" i="4"/>
  <c r="R113" i="4" s="1"/>
  <c r="R114" i="4" s="1"/>
  <c r="S111" i="4" s="1"/>
  <c r="S113" i="4" s="1"/>
  <c r="Q105" i="4"/>
  <c r="P108" i="4"/>
  <c r="P147" i="4"/>
  <c r="O77" i="4"/>
  <c r="R85" i="4"/>
  <c r="R86" i="4" s="1"/>
  <c r="R26" i="4"/>
  <c r="N9" i="14" s="1"/>
  <c r="R56" i="4"/>
  <c r="R106" i="4" s="1"/>
  <c r="R45" i="4"/>
  <c r="N38" i="14" s="1"/>
  <c r="S25" i="4"/>
  <c r="S28" i="4"/>
  <c r="S34" i="4"/>
  <c r="T8" i="4"/>
  <c r="T24" i="4" s="1"/>
  <c r="V19" i="4"/>
  <c r="R41" i="14" s="1"/>
  <c r="V14" i="4"/>
  <c r="V18" i="4"/>
  <c r="R39" i="14" s="1"/>
  <c r="V17" i="4"/>
  <c r="R37" i="14" s="1"/>
  <c r="S137" i="4"/>
  <c r="Q147" i="4" l="1"/>
  <c r="T2" i="4"/>
  <c r="N4" i="7"/>
  <c r="O36" i="14"/>
  <c r="N40" i="14"/>
  <c r="M42" i="14"/>
  <c r="R28" i="14"/>
  <c r="N20" i="14"/>
  <c r="R16" i="4"/>
  <c r="M22" i="14"/>
  <c r="Q108" i="4"/>
  <c r="S114" i="4"/>
  <c r="S48" i="4" s="1"/>
  <c r="R48" i="4"/>
  <c r="T44" i="4"/>
  <c r="T104" i="4" s="1"/>
  <c r="T81" i="4"/>
  <c r="R105" i="4"/>
  <c r="R108" i="4" s="1"/>
  <c r="P77" i="4"/>
  <c r="S85" i="4"/>
  <c r="S86" i="4" s="1"/>
  <c r="S26" i="4"/>
  <c r="O9" i="14" s="1"/>
  <c r="S45" i="4"/>
  <c r="O38" i="14" s="1"/>
  <c r="S56" i="4"/>
  <c r="O40" i="14" s="1"/>
  <c r="U8" i="4"/>
  <c r="U24" i="4" s="1"/>
  <c r="T28" i="4"/>
  <c r="T25" i="4"/>
  <c r="T34" i="4"/>
  <c r="T137" i="4"/>
  <c r="R147" i="4" l="1"/>
  <c r="U2" i="4"/>
  <c r="O4" i="7"/>
  <c r="U81" i="4"/>
  <c r="P36" i="14"/>
  <c r="O42" i="14"/>
  <c r="N42" i="14"/>
  <c r="S16" i="4"/>
  <c r="N22" i="14"/>
  <c r="O20" i="14"/>
  <c r="T111" i="4"/>
  <c r="T113" i="4" s="1"/>
  <c r="T114" i="4" s="1"/>
  <c r="Q77" i="4"/>
  <c r="S106" i="4"/>
  <c r="U44" i="4"/>
  <c r="U104" i="4" s="1"/>
  <c r="S105" i="4"/>
  <c r="S147" i="4"/>
  <c r="R77" i="4"/>
  <c r="T85" i="4"/>
  <c r="T86" i="4" s="1"/>
  <c r="T26" i="4"/>
  <c r="P9" i="14" s="1"/>
  <c r="T45" i="4"/>
  <c r="P38" i="14" s="1"/>
  <c r="T56" i="4"/>
  <c r="T106" i="4" s="1"/>
  <c r="U25" i="4"/>
  <c r="U28" i="4"/>
  <c r="U34" i="4"/>
  <c r="V8" i="4"/>
  <c r="V24" i="4" s="1"/>
  <c r="U137" i="4"/>
  <c r="T153" i="3"/>
  <c r="U153" i="3"/>
  <c r="V153" i="3"/>
  <c r="W153" i="3"/>
  <c r="X152" i="3" s="1"/>
  <c r="L147" i="3"/>
  <c r="M147" i="3"/>
  <c r="N147" i="3"/>
  <c r="O147" i="3"/>
  <c r="K147" i="3"/>
  <c r="P146" i="3"/>
  <c r="Q146" i="3" s="1"/>
  <c r="P145" i="3"/>
  <c r="Q145" i="3" s="1"/>
  <c r="K144" i="3"/>
  <c r="V2" i="4" l="1"/>
  <c r="Q4" i="7" s="1"/>
  <c r="P4" i="7"/>
  <c r="Q36" i="14"/>
  <c r="P40" i="14"/>
  <c r="P20" i="14"/>
  <c r="T16" i="4"/>
  <c r="O22" i="14"/>
  <c r="T105" i="4"/>
  <c r="V44" i="4"/>
  <c r="V104" i="4" s="1"/>
  <c r="V81" i="4"/>
  <c r="U111" i="4"/>
  <c r="T48" i="4"/>
  <c r="U85" i="4"/>
  <c r="U86" i="4" s="1"/>
  <c r="U26" i="4"/>
  <c r="Q9" i="14" s="1"/>
  <c r="U56" i="4"/>
  <c r="Q40" i="14" s="1"/>
  <c r="U45" i="4"/>
  <c r="U105" i="4" s="1"/>
  <c r="S108" i="4"/>
  <c r="V28" i="4"/>
  <c r="V25" i="4"/>
  <c r="V34" i="4"/>
  <c r="V137" i="4"/>
  <c r="W137" i="4" s="1"/>
  <c r="Q147" i="3"/>
  <c r="Q38" i="14" l="1"/>
  <c r="R36" i="14"/>
  <c r="P42" i="14"/>
  <c r="U16" i="4"/>
  <c r="P22" i="14"/>
  <c r="Q20" i="14"/>
  <c r="R20" i="14"/>
  <c r="U106" i="4"/>
  <c r="U108" i="4" s="1"/>
  <c r="V85" i="4"/>
  <c r="V86" i="4" s="1"/>
  <c r="T147" i="4"/>
  <c r="S77" i="4"/>
  <c r="T108" i="4"/>
  <c r="U113" i="4"/>
  <c r="U114" i="4" s="1"/>
  <c r="V26" i="4"/>
  <c r="R9" i="14" s="1"/>
  <c r="V45" i="4"/>
  <c r="V105" i="4" s="1"/>
  <c r="V56" i="4"/>
  <c r="V106" i="4" s="1"/>
  <c r="M133" i="3"/>
  <c r="N133" i="3"/>
  <c r="M123" i="3"/>
  <c r="R40" i="14" l="1"/>
  <c r="R38" i="14"/>
  <c r="V16" i="4"/>
  <c r="R22" i="14" s="1"/>
  <c r="Q22" i="14"/>
  <c r="V111" i="4"/>
  <c r="U48" i="4"/>
  <c r="U147" i="4"/>
  <c r="T77" i="4"/>
  <c r="V147" i="4"/>
  <c r="U77" i="4"/>
  <c r="M135" i="3"/>
  <c r="N40" i="3"/>
  <c r="K51" i="3"/>
  <c r="L51" i="3"/>
  <c r="M51" i="3"/>
  <c r="N51" i="3"/>
  <c r="L40" i="3"/>
  <c r="M40" i="3"/>
  <c r="K133" i="3"/>
  <c r="L133" i="3"/>
  <c r="L135" i="3" s="1"/>
  <c r="K76" i="3"/>
  <c r="L76" i="3"/>
  <c r="M76" i="3"/>
  <c r="N76" i="3"/>
  <c r="K66" i="3"/>
  <c r="L66" i="3"/>
  <c r="M66" i="3"/>
  <c r="N66" i="3"/>
  <c r="K58" i="3"/>
  <c r="L58" i="3"/>
  <c r="M58" i="3"/>
  <c r="N58" i="3"/>
  <c r="J76" i="3"/>
  <c r="J66" i="3"/>
  <c r="J58" i="3"/>
  <c r="J51" i="3"/>
  <c r="K40" i="3"/>
  <c r="J40" i="3"/>
  <c r="Q42" i="14" l="1"/>
  <c r="L77" i="3"/>
  <c r="L78" i="3" s="1"/>
  <c r="V108" i="4"/>
  <c r="V113" i="4"/>
  <c r="V114" i="4" s="1"/>
  <c r="V48" i="4" s="1"/>
  <c r="R42" i="14" s="1"/>
  <c r="M138" i="3"/>
  <c r="K97" i="4" s="1"/>
  <c r="L138" i="3"/>
  <c r="J97" i="4" s="1"/>
  <c r="K78" i="4"/>
  <c r="K96" i="4" s="1"/>
  <c r="I78" i="4"/>
  <c r="I96" i="4" s="1"/>
  <c r="J78" i="4"/>
  <c r="L78" i="4"/>
  <c r="L96" i="4" s="1"/>
  <c r="N52" i="3"/>
  <c r="L52" i="3"/>
  <c r="J77" i="3"/>
  <c r="J78" i="3" s="1"/>
  <c r="J52" i="3"/>
  <c r="N77" i="3"/>
  <c r="N78" i="3" s="1"/>
  <c r="M52" i="3"/>
  <c r="K77" i="3"/>
  <c r="K78" i="3" s="1"/>
  <c r="K52" i="3"/>
  <c r="M77" i="3"/>
  <c r="M78" i="3" s="1"/>
  <c r="J24" i="3"/>
  <c r="J16" i="3"/>
  <c r="J8" i="3"/>
  <c r="J133" i="3"/>
  <c r="F27" i="14" l="1"/>
  <c r="J96" i="4"/>
  <c r="G27" i="14"/>
  <c r="W147" i="4"/>
  <c r="V77" i="4"/>
  <c r="N80" i="3"/>
  <c r="J138" i="3"/>
  <c r="H97" i="4" s="1"/>
  <c r="J135" i="3"/>
  <c r="J17" i="3"/>
  <c r="J20" i="3" s="1"/>
  <c r="J25" i="3" s="1"/>
  <c r="J80" i="3"/>
  <c r="H78" i="4"/>
  <c r="H96" i="4" s="1"/>
  <c r="L80" i="3"/>
  <c r="M80" i="3"/>
  <c r="K80" i="3"/>
  <c r="K123" i="3"/>
  <c r="K135" i="3" s="1"/>
  <c r="N123" i="3"/>
  <c r="N135" i="3" s="1"/>
  <c r="D27" i="14" l="1"/>
  <c r="N138" i="3"/>
  <c r="L97" i="4" s="1"/>
  <c r="H27" i="14"/>
  <c r="K138" i="3"/>
  <c r="I97" i="4" s="1"/>
  <c r="N24" i="3"/>
  <c r="M24" i="3"/>
  <c r="L24" i="3"/>
  <c r="K24" i="3"/>
  <c r="N16" i="3"/>
  <c r="M16" i="3"/>
  <c r="L16" i="3"/>
  <c r="K16" i="3"/>
  <c r="N8" i="3"/>
  <c r="M8" i="3"/>
  <c r="L8" i="3"/>
  <c r="L17" i="3" s="1"/>
  <c r="K8" i="3"/>
  <c r="K4" i="3"/>
  <c r="K17" i="3" l="1"/>
  <c r="K20" i="3" s="1"/>
  <c r="K25" i="3" s="1"/>
  <c r="M20" i="3"/>
  <c r="M25" i="3" s="1"/>
  <c r="M17" i="3"/>
  <c r="N17" i="3"/>
  <c r="N20" i="3"/>
  <c r="N25" i="3" s="1"/>
  <c r="L4" i="3"/>
  <c r="L144" i="3"/>
  <c r="L20" i="3"/>
  <c r="L25" i="3" s="1"/>
  <c r="M4" i="3" l="1"/>
  <c r="M144" i="3"/>
  <c r="N4" i="3" l="1"/>
  <c r="O144" i="3" s="1"/>
  <c r="N144" i="3"/>
  <c r="N31" i="4" l="1"/>
  <c r="O145" i="4" l="1"/>
  <c r="N75" i="4"/>
  <c r="O31" i="4" l="1"/>
  <c r="P145" i="4" l="1"/>
  <c r="O75" i="4"/>
  <c r="P31" i="4" l="1"/>
  <c r="Q145" i="4" l="1"/>
  <c r="P75" i="4"/>
  <c r="Q31" i="4" l="1"/>
  <c r="R145" i="4" l="1"/>
  <c r="Q75" i="4"/>
  <c r="R31" i="4" l="1"/>
  <c r="S145" i="4" l="1"/>
  <c r="R75" i="4"/>
  <c r="S31" i="4" l="1"/>
  <c r="T145" i="4" l="1"/>
  <c r="S75" i="4"/>
  <c r="T31" i="4" l="1"/>
  <c r="U145" i="4" l="1"/>
  <c r="T75" i="4"/>
  <c r="U31" i="4" l="1"/>
  <c r="V145" i="4" l="1"/>
  <c r="U75" i="4"/>
  <c r="V31" i="4" l="1"/>
  <c r="W145" i="4" l="1"/>
  <c r="V75" i="4"/>
  <c r="N11" i="4" l="1"/>
  <c r="O11" i="4" s="1"/>
  <c r="O29" i="4" s="1"/>
  <c r="O30" i="4" s="1"/>
  <c r="M29" i="4"/>
  <c r="M30" i="4" s="1"/>
  <c r="M32" i="4" l="1"/>
  <c r="I23" i="14" s="1"/>
  <c r="I10" i="14"/>
  <c r="O32" i="4"/>
  <c r="K23" i="14" s="1"/>
  <c r="K10" i="14"/>
  <c r="N29" i="4"/>
  <c r="N30" i="4" s="1"/>
  <c r="P11" i="4"/>
  <c r="N142" i="4" l="1"/>
  <c r="N143" i="4" s="1"/>
  <c r="N144" i="4" s="1"/>
  <c r="N148" i="4" s="1"/>
  <c r="N150" i="4" s="1"/>
  <c r="P142" i="4"/>
  <c r="P143" i="4" s="1"/>
  <c r="P144" i="4" s="1"/>
  <c r="P148" i="4" s="1"/>
  <c r="P150" i="4" s="1"/>
  <c r="K11" i="14"/>
  <c r="N32" i="4"/>
  <c r="J23" i="14" s="1"/>
  <c r="J10" i="14"/>
  <c r="I11" i="14"/>
  <c r="P29" i="4"/>
  <c r="P30" i="4" s="1"/>
  <c r="Q11" i="4"/>
  <c r="P32" i="4" l="1"/>
  <c r="L23" i="14" s="1"/>
  <c r="L10" i="14"/>
  <c r="O142" i="4"/>
  <c r="O143" i="4" s="1"/>
  <c r="O144" i="4" s="1"/>
  <c r="O148" i="4" s="1"/>
  <c r="O150" i="4" s="1"/>
  <c r="J11" i="14"/>
  <c r="R11" i="4"/>
  <c r="Q29" i="4"/>
  <c r="Q30" i="4" s="1"/>
  <c r="Q142" i="4" l="1"/>
  <c r="Q143" i="4" s="1"/>
  <c r="Q144" i="4" s="1"/>
  <c r="Q148" i="4" s="1"/>
  <c r="Q150" i="4" s="1"/>
  <c r="L11" i="14"/>
  <c r="Q32" i="4"/>
  <c r="M23" i="14" s="1"/>
  <c r="M10" i="14"/>
  <c r="S11" i="4"/>
  <c r="R29" i="4"/>
  <c r="R30" i="4" s="1"/>
  <c r="M11" i="14" l="1"/>
  <c r="R32" i="4"/>
  <c r="N23" i="14" s="1"/>
  <c r="N10" i="14"/>
  <c r="R142" i="4"/>
  <c r="R143" i="4" s="1"/>
  <c r="R144" i="4" s="1"/>
  <c r="R148" i="4" s="1"/>
  <c r="R150" i="4" s="1"/>
  <c r="S29" i="4"/>
  <c r="S30" i="4" s="1"/>
  <c r="T11" i="4"/>
  <c r="N11" i="14" l="1"/>
  <c r="S32" i="4"/>
  <c r="O23" i="14" s="1"/>
  <c r="O10" i="14"/>
  <c r="S142" i="4"/>
  <c r="S143" i="4" s="1"/>
  <c r="S144" i="4" s="1"/>
  <c r="S148" i="4" s="1"/>
  <c r="S150" i="4" s="1"/>
  <c r="T29" i="4"/>
  <c r="T30" i="4" s="1"/>
  <c r="U11" i="4"/>
  <c r="T142" i="4" l="1"/>
  <c r="T143" i="4" s="1"/>
  <c r="T144" i="4" s="1"/>
  <c r="T148" i="4" s="1"/>
  <c r="T150" i="4" s="1"/>
  <c r="O11" i="14"/>
  <c r="T32" i="4"/>
  <c r="P23" i="14" s="1"/>
  <c r="P10" i="14"/>
  <c r="V11" i="4"/>
  <c r="V29" i="4" s="1"/>
  <c r="V30" i="4" s="1"/>
  <c r="U29" i="4"/>
  <c r="U30" i="4" s="1"/>
  <c r="U142" i="4" l="1"/>
  <c r="U143" i="4" s="1"/>
  <c r="U144" i="4" s="1"/>
  <c r="U148" i="4" s="1"/>
  <c r="U150" i="4" s="1"/>
  <c r="P11" i="14"/>
  <c r="U32" i="4"/>
  <c r="Q23" i="14" s="1"/>
  <c r="Q10" i="14"/>
  <c r="V32" i="4"/>
  <c r="R23" i="14" s="1"/>
  <c r="R10" i="14"/>
  <c r="V142" i="4" l="1"/>
  <c r="V143" i="4" s="1"/>
  <c r="V144" i="4" s="1"/>
  <c r="V148" i="4" s="1"/>
  <c r="V150" i="4" s="1"/>
  <c r="R11" i="14"/>
  <c r="W142" i="4"/>
  <c r="AB138" i="4" s="1"/>
  <c r="Q11" i="14"/>
  <c r="W143" i="4" l="1"/>
  <c r="W144" i="4" s="1"/>
  <c r="W148" i="4" s="1"/>
  <c r="AB139" i="4" s="1"/>
  <c r="AB140" i="4" s="1"/>
  <c r="X148" i="4" s="1"/>
  <c r="X150" i="4" s="1"/>
  <c r="W150" i="4" l="1"/>
  <c r="E156" i="4" s="1"/>
  <c r="M61" i="4"/>
  <c r="M120" i="4"/>
  <c r="E160" i="4" l="1"/>
  <c r="E162" i="4" s="1"/>
  <c r="I172" i="4" s="1"/>
  <c r="M121" i="4"/>
  <c r="M33" i="4" s="1"/>
  <c r="N118" i="4"/>
  <c r="N120" i="4" s="1"/>
  <c r="I187" i="4" l="1"/>
  <c r="E27" i="14" s="1"/>
  <c r="Q157" i="4"/>
  <c r="Q158" i="4" s="1"/>
  <c r="M92" i="4"/>
  <c r="O118" i="4"/>
  <c r="O120" i="4" s="1"/>
  <c r="N59" i="4"/>
  <c r="N61" i="4" s="1"/>
  <c r="N121" i="4"/>
  <c r="M35" i="4"/>
  <c r="M76" i="4"/>
  <c r="N92" i="4" l="1"/>
  <c r="N33" i="4"/>
  <c r="P118" i="4"/>
  <c r="P120" i="4" s="1"/>
  <c r="O59" i="4"/>
  <c r="O61" i="4" s="1"/>
  <c r="O121" i="4"/>
  <c r="I12" i="14"/>
  <c r="M36" i="4"/>
  <c r="N76" i="4" l="1"/>
  <c r="N35" i="4"/>
  <c r="O33" i="4"/>
  <c r="O92" i="4"/>
  <c r="Q118" i="4"/>
  <c r="Q120" i="4" s="1"/>
  <c r="P59" i="4"/>
  <c r="P61" i="4" s="1"/>
  <c r="P121" i="4"/>
  <c r="M37" i="4"/>
  <c r="I13" i="14"/>
  <c r="P92" i="4" l="1"/>
  <c r="P33" i="4"/>
  <c r="R118" i="4"/>
  <c r="R120" i="4" s="1"/>
  <c r="Q59" i="4"/>
  <c r="Q61" i="4" s="1"/>
  <c r="Q121" i="4"/>
  <c r="O76" i="4"/>
  <c r="O35" i="4"/>
  <c r="J12" i="14"/>
  <c r="N36" i="4"/>
  <c r="I14" i="14"/>
  <c r="M91" i="4"/>
  <c r="M94" i="4" s="1"/>
  <c r="M74" i="4"/>
  <c r="M78" i="4" s="1"/>
  <c r="Q33" i="4" l="1"/>
  <c r="Q92" i="4"/>
  <c r="S118" i="4"/>
  <c r="S120" i="4" s="1"/>
  <c r="R59" i="4"/>
  <c r="R61" i="4" s="1"/>
  <c r="R121" i="4"/>
  <c r="O36" i="4"/>
  <c r="K13" i="14" s="1"/>
  <c r="K12" i="14"/>
  <c r="P35" i="4"/>
  <c r="P76" i="4"/>
  <c r="N37" i="4"/>
  <c r="J13" i="14"/>
  <c r="M64" i="4"/>
  <c r="M65" i="4" s="1"/>
  <c r="M96" i="4"/>
  <c r="I19" i="14" l="1"/>
  <c r="I21" i="14"/>
  <c r="M98" i="4"/>
  <c r="M42" i="4" s="1"/>
  <c r="I26" i="14" s="1"/>
  <c r="T118" i="4"/>
  <c r="T120" i="4" s="1"/>
  <c r="S59" i="4"/>
  <c r="S61" i="4" s="1"/>
  <c r="S121" i="4"/>
  <c r="N74" i="4"/>
  <c r="N78" i="4" s="1"/>
  <c r="N91" i="4"/>
  <c r="N94" i="4" s="1"/>
  <c r="J14" i="14"/>
  <c r="O37" i="4"/>
  <c r="P36" i="4"/>
  <c r="L13" i="14" s="1"/>
  <c r="L12" i="14"/>
  <c r="R92" i="4"/>
  <c r="R33" i="4"/>
  <c r="Q76" i="4"/>
  <c r="Q35" i="4"/>
  <c r="I33" i="14"/>
  <c r="I32" i="14"/>
  <c r="I43" i="14"/>
  <c r="M66" i="4"/>
  <c r="N97" i="4" l="1"/>
  <c r="M52" i="4"/>
  <c r="N96" i="4"/>
  <c r="O74" i="4"/>
  <c r="O78" i="4" s="1"/>
  <c r="O91" i="4"/>
  <c r="O94" i="4" s="1"/>
  <c r="K14" i="14"/>
  <c r="R76" i="4"/>
  <c r="R35" i="4"/>
  <c r="S33" i="4"/>
  <c r="S92" i="4"/>
  <c r="P37" i="4"/>
  <c r="Q36" i="4"/>
  <c r="M13" i="14" s="1"/>
  <c r="M12" i="14"/>
  <c r="N64" i="4"/>
  <c r="U118" i="4"/>
  <c r="U120" i="4" s="1"/>
  <c r="T59" i="4"/>
  <c r="T61" i="4" s="1"/>
  <c r="T121" i="4"/>
  <c r="I17" i="14" l="1"/>
  <c r="I31" i="14"/>
  <c r="N98" i="4"/>
  <c r="O97" i="4" s="1"/>
  <c r="I18" i="14"/>
  <c r="M68" i="4"/>
  <c r="M3" i="4" s="1"/>
  <c r="Q37" i="4"/>
  <c r="V118" i="4"/>
  <c r="V120" i="4" s="1"/>
  <c r="U59" i="4"/>
  <c r="U61" i="4" s="1"/>
  <c r="U121" i="4"/>
  <c r="R36" i="4"/>
  <c r="N13" i="14" s="1"/>
  <c r="N12" i="14"/>
  <c r="O64" i="4"/>
  <c r="N65" i="4"/>
  <c r="O96" i="4"/>
  <c r="P74" i="4"/>
  <c r="P78" i="4" s="1"/>
  <c r="L14" i="14"/>
  <c r="P91" i="4"/>
  <c r="P94" i="4" s="1"/>
  <c r="S76" i="4"/>
  <c r="S35" i="4"/>
  <c r="T33" i="4"/>
  <c r="T92" i="4"/>
  <c r="J19" i="14" l="1"/>
  <c r="J21" i="14"/>
  <c r="O98" i="4"/>
  <c r="P97" i="4" s="1"/>
  <c r="N42" i="4"/>
  <c r="J26" i="14" s="1"/>
  <c r="I27" i="14"/>
  <c r="M14" i="14"/>
  <c r="Q91" i="4"/>
  <c r="Q94" i="4" s="1"/>
  <c r="Q74" i="4"/>
  <c r="Q78" i="4" s="1"/>
  <c r="P96" i="4"/>
  <c r="R37" i="4"/>
  <c r="S36" i="4"/>
  <c r="O13" i="14" s="1"/>
  <c r="O12" i="14"/>
  <c r="U92" i="4"/>
  <c r="U33" i="4"/>
  <c r="J32" i="14"/>
  <c r="J33" i="14"/>
  <c r="N66" i="4"/>
  <c r="J43" i="14"/>
  <c r="P64" i="4"/>
  <c r="O65" i="4"/>
  <c r="T76" i="4"/>
  <c r="T35" i="4"/>
  <c r="O42" i="4"/>
  <c r="K26" i="14" s="1"/>
  <c r="V59" i="4"/>
  <c r="V61" i="4" s="1"/>
  <c r="V121" i="4"/>
  <c r="K21" i="14" l="1"/>
  <c r="K19" i="14"/>
  <c r="R91" i="4"/>
  <c r="R94" i="4" s="1"/>
  <c r="N52" i="4"/>
  <c r="R74" i="4"/>
  <c r="R78" i="4" s="1"/>
  <c r="Q96" i="4"/>
  <c r="N14" i="14"/>
  <c r="P98" i="4"/>
  <c r="P42" i="4" s="1"/>
  <c r="L26" i="14" s="1"/>
  <c r="S37" i="4"/>
  <c r="O52" i="4"/>
  <c r="P12" i="14"/>
  <c r="T36" i="4"/>
  <c r="P13" i="14" s="1"/>
  <c r="V33" i="4"/>
  <c r="V92" i="4"/>
  <c r="P65" i="4"/>
  <c r="L19" i="14" s="1"/>
  <c r="Q64" i="4"/>
  <c r="K33" i="14"/>
  <c r="K32" i="14"/>
  <c r="K43" i="14"/>
  <c r="O66" i="4"/>
  <c r="U35" i="4"/>
  <c r="U76" i="4"/>
  <c r="R96" i="4" l="1"/>
  <c r="L21" i="14"/>
  <c r="N68" i="4"/>
  <c r="N3" i="4" s="1"/>
  <c r="K17" i="14"/>
  <c r="J17" i="14"/>
  <c r="J31" i="14"/>
  <c r="J18" i="14"/>
  <c r="S74" i="4"/>
  <c r="S78" i="4" s="1"/>
  <c r="K18" i="14"/>
  <c r="S91" i="4"/>
  <c r="S94" i="4" s="1"/>
  <c r="Q97" i="4"/>
  <c r="Q98" i="4" s="1"/>
  <c r="R97" i="4" s="1"/>
  <c r="O14" i="14"/>
  <c r="T37" i="4"/>
  <c r="Q12" i="14"/>
  <c r="U36" i="4"/>
  <c r="Q13" i="14" s="1"/>
  <c r="L33" i="14"/>
  <c r="L43" i="14"/>
  <c r="L32" i="14"/>
  <c r="P66" i="4"/>
  <c r="V35" i="4"/>
  <c r="V76" i="4"/>
  <c r="P52" i="4"/>
  <c r="L17" i="14" s="1"/>
  <c r="Q65" i="4"/>
  <c r="M19" i="14" s="1"/>
  <c r="R64" i="4"/>
  <c r="O68" i="4"/>
  <c r="O3" i="4" s="1"/>
  <c r="K31" i="14"/>
  <c r="J27" i="14" l="1"/>
  <c r="R98" i="4"/>
  <c r="R42" i="4" s="1"/>
  <c r="N26" i="14" s="1"/>
  <c r="M21" i="14"/>
  <c r="S96" i="4"/>
  <c r="T74" i="4"/>
  <c r="T78" i="4" s="1"/>
  <c r="L18" i="14"/>
  <c r="U37" i="4"/>
  <c r="Q42" i="4"/>
  <c r="M26" i="14" s="1"/>
  <c r="T91" i="4"/>
  <c r="T94" i="4" s="1"/>
  <c r="P14" i="14"/>
  <c r="M33" i="14"/>
  <c r="M43" i="14"/>
  <c r="Q66" i="4"/>
  <c r="M32" i="14"/>
  <c r="R12" i="14"/>
  <c r="V36" i="4"/>
  <c r="R13" i="14" s="1"/>
  <c r="R65" i="4"/>
  <c r="S64" i="4"/>
  <c r="L31" i="14"/>
  <c r="P68" i="4"/>
  <c r="P3" i="4" s="1"/>
  <c r="K27" i="14"/>
  <c r="U91" i="4" l="1"/>
  <c r="U94" i="4" s="1"/>
  <c r="S97" i="4"/>
  <c r="S98" i="4" s="1"/>
  <c r="S42" i="4" s="1"/>
  <c r="O26" i="14" s="1"/>
  <c r="N19" i="14"/>
  <c r="U74" i="4"/>
  <c r="U78" i="4" s="1"/>
  <c r="N21" i="14"/>
  <c r="Q14" i="14"/>
  <c r="Q52" i="4"/>
  <c r="T96" i="4"/>
  <c r="V37" i="4"/>
  <c r="R52" i="4"/>
  <c r="L27" i="14"/>
  <c r="R66" i="4"/>
  <c r="N32" i="14"/>
  <c r="N33" i="14"/>
  <c r="N43" i="14"/>
  <c r="S65" i="4"/>
  <c r="T64" i="4"/>
  <c r="U96" i="4" l="1"/>
  <c r="N17" i="14"/>
  <c r="M17" i="14"/>
  <c r="O19" i="14"/>
  <c r="O21" i="14"/>
  <c r="M18" i="14"/>
  <c r="T97" i="4"/>
  <c r="T98" i="4" s="1"/>
  <c r="U97" i="4" s="1"/>
  <c r="M31" i="14"/>
  <c r="Q68" i="4"/>
  <c r="Q3" i="4" s="1"/>
  <c r="N18" i="14"/>
  <c r="V91" i="4"/>
  <c r="V94" i="4" s="1"/>
  <c r="R14" i="14"/>
  <c r="V74" i="4"/>
  <c r="V78" i="4" s="1"/>
  <c r="U64" i="4"/>
  <c r="T65" i="4"/>
  <c r="P19" i="14" s="1"/>
  <c r="S52" i="4"/>
  <c r="N31" i="14"/>
  <c r="R68" i="4"/>
  <c r="R3" i="4" s="1"/>
  <c r="S66" i="4"/>
  <c r="O33" i="14"/>
  <c r="O43" i="14"/>
  <c r="O32" i="14"/>
  <c r="U98" i="4" l="1"/>
  <c r="V97" i="4" s="1"/>
  <c r="O17" i="14"/>
  <c r="O18" i="14"/>
  <c r="P21" i="14"/>
  <c r="M27" i="14"/>
  <c r="T42" i="4"/>
  <c r="P26" i="14" s="1"/>
  <c r="V96" i="4"/>
  <c r="N27" i="14"/>
  <c r="O31" i="14"/>
  <c r="S68" i="4"/>
  <c r="P43" i="14"/>
  <c r="T66" i="4"/>
  <c r="P32" i="14"/>
  <c r="P33" i="14"/>
  <c r="U65" i="4"/>
  <c r="Q19" i="14" s="1"/>
  <c r="V64" i="4"/>
  <c r="V65" i="4" s="1"/>
  <c r="U42" i="4" l="1"/>
  <c r="Q26" i="14" s="1"/>
  <c r="R19" i="14"/>
  <c r="Q21" i="14"/>
  <c r="R21" i="14"/>
  <c r="T52" i="4"/>
  <c r="V98" i="4"/>
  <c r="V42" i="4" s="1"/>
  <c r="R26" i="14" s="1"/>
  <c r="Q43" i="14"/>
  <c r="U66" i="4"/>
  <c r="Q32" i="14"/>
  <c r="Q33" i="14"/>
  <c r="R32" i="14"/>
  <c r="V66" i="4"/>
  <c r="R33" i="14"/>
  <c r="R43" i="14"/>
  <c r="S3" i="4"/>
  <c r="O27" i="14"/>
  <c r="U52" i="4"/>
  <c r="Q17" i="14" l="1"/>
  <c r="P17" i="14"/>
  <c r="P18" i="14"/>
  <c r="P31" i="14"/>
  <c r="T68" i="4"/>
  <c r="T3" i="4" s="1"/>
  <c r="V52" i="4"/>
  <c r="R18" i="14" s="1"/>
  <c r="Q18" i="14"/>
  <c r="Q31" i="14"/>
  <c r="U68" i="4"/>
  <c r="R17" i="14" l="1"/>
  <c r="P27" i="14"/>
  <c r="V68" i="4"/>
  <c r="R27" i="14" s="1"/>
  <c r="R31" i="14"/>
  <c r="U3" i="4"/>
  <c r="Q27" i="14"/>
  <c r="V3" i="4" l="1"/>
</calcChain>
</file>

<file path=xl/comments1.xml><?xml version="1.0" encoding="utf-8"?>
<comments xmlns="http://schemas.openxmlformats.org/spreadsheetml/2006/main">
  <authors>
    <author>.</author>
    <author>kashish thakur</author>
  </authors>
  <commentList>
    <comment ref="I5" authorId="0" shapeId="0">
      <text>
        <r>
          <rPr>
            <b/>
            <sz val="10"/>
            <color rgb="FF000000"/>
            <rFont val="Tahoma"/>
            <family val="2"/>
          </rPr>
          <t>.:</t>
        </r>
        <r>
          <rPr>
            <sz val="10"/>
            <color rgb="FF000000"/>
            <rFont val="Tahoma"/>
            <family val="2"/>
          </rPr>
          <t xml:space="preserve">
As on 14
 May 2026</t>
        </r>
      </text>
    </comment>
    <comment ref="P10" authorId="1" shapeId="0">
      <text>
        <r>
          <rPr>
            <b/>
            <sz val="9"/>
            <color rgb="FF000000"/>
            <rFont val="Tahoma"/>
            <family val="2"/>
          </rPr>
          <t>:..</t>
        </r>
        <r>
          <rPr>
            <sz val="9"/>
            <color rgb="FF000000"/>
            <rFont val="Tahoma"/>
            <family val="2"/>
          </rPr>
          <t xml:space="preserve">
A normalized tax rate of 25% is assumed as the reported tax is negative/abnormal</t>
        </r>
      </text>
    </comment>
  </commentList>
</comments>
</file>

<file path=xl/comments2.xml><?xml version="1.0" encoding="utf-8"?>
<comments xmlns="http://schemas.openxmlformats.org/spreadsheetml/2006/main">
  <authors>
    <author>.</author>
  </authors>
  <commentList>
    <comment ref="K41" authorId="0" shapeId="0">
      <text>
        <r>
          <rPr>
            <sz val="10"/>
            <color rgb="FF000000"/>
            <rFont val="Tahoma"/>
            <family val="2"/>
          </rPr>
          <t>:..Risk-Free Rate proxied using the yield on the 10-Year Government of India Security sourced from the RBI Database on Indian Economy (DBIE).</t>
        </r>
        <r>
          <rPr>
            <b/>
            <sz val="10"/>
            <color rgb="FF000000"/>
            <rFont val="Tahoma"/>
            <family val="2"/>
          </rPr>
          <t xml:space="preserve">
</t>
        </r>
      </text>
    </comment>
  </commentList>
</comments>
</file>

<file path=xl/sharedStrings.xml><?xml version="1.0" encoding="utf-8"?>
<sst xmlns="http://schemas.openxmlformats.org/spreadsheetml/2006/main" count="764" uniqueCount="524">
  <si>
    <t>Historical Financial Information</t>
  </si>
  <si>
    <r>
      <rPr>
        <b/>
        <sz val="12"/>
        <color rgb="FF0432FF"/>
        <rFont val="Book Antiqua"/>
        <family val="1"/>
      </rPr>
      <t>Blue- Hard Coded,</t>
    </r>
    <r>
      <rPr>
        <b/>
        <sz val="12"/>
        <color theme="1"/>
        <rFont val="Book Antiqua"/>
        <family val="1"/>
      </rPr>
      <t xml:space="preserve"> Black- Calculation </t>
    </r>
    <r>
      <rPr>
        <b/>
        <sz val="12"/>
        <color rgb="FF00B050"/>
        <rFont val="Book Antiqua"/>
        <family val="1"/>
      </rPr>
      <t>&amp;</t>
    </r>
    <r>
      <rPr>
        <b/>
        <sz val="12"/>
        <color theme="1"/>
        <rFont val="Book Antiqua"/>
        <family val="1"/>
      </rPr>
      <t xml:space="preserve"> </t>
    </r>
    <r>
      <rPr>
        <b/>
        <sz val="12"/>
        <color rgb="FF00B050"/>
        <rFont val="Book Antiqua"/>
        <family val="1"/>
      </rPr>
      <t>Green- Linkages</t>
    </r>
  </si>
  <si>
    <t>INCOME STATEMENT</t>
  </si>
  <si>
    <t>(b) Other income</t>
  </si>
  <si>
    <t>CASH FLOW STATEMENT</t>
  </si>
  <si>
    <t>Neogen Chamical Limited</t>
  </si>
  <si>
    <t>I. Income</t>
  </si>
  <si>
    <t>(a) Revenue from operations</t>
  </si>
  <si>
    <t>Total Income</t>
  </si>
  <si>
    <t>II. Expenses</t>
  </si>
  <si>
    <t>(a) Cost of materials consumed</t>
  </si>
  <si>
    <t>(b) Changes in inventories of finished goods, work-in-progress and stock-in-trade</t>
  </si>
  <si>
    <t>(c) Employee benefits expense</t>
  </si>
  <si>
    <t>(d) Finance costs</t>
  </si>
  <si>
    <t>(e) Depreciation and amortisation expenses</t>
  </si>
  <si>
    <t>(f) Other expense</t>
  </si>
  <si>
    <t>Total Expenses</t>
  </si>
  <si>
    <t>Profit /(loss) before share of profit of investment accounted for using equity method and taxes (I-II)</t>
  </si>
  <si>
    <t>Share of Profit/(Loss) of investments accounted for using equity method</t>
  </si>
  <si>
    <t>III. Profit/(loss) before taxes</t>
  </si>
  <si>
    <t>IV. Income tax</t>
  </si>
  <si>
    <t>1. Current Tax</t>
  </si>
  <si>
    <t>2. Deferred Tax</t>
  </si>
  <si>
    <t>Total Tax Expense</t>
  </si>
  <si>
    <t>V. Profit for the year (III - IV)</t>
  </si>
  <si>
    <t>#</t>
  </si>
  <si>
    <t>BALANCE SHEET</t>
  </si>
  <si>
    <t>ASSETS</t>
  </si>
  <si>
    <t>(1) Non-current assets</t>
  </si>
  <si>
    <t>(2) Current Assets</t>
  </si>
  <si>
    <t>Total Current Assets</t>
  </si>
  <si>
    <t>EQUITY AND LIABILITIES</t>
  </si>
  <si>
    <t>(1) Equity</t>
  </si>
  <si>
    <t>(3) Current liabilities</t>
  </si>
  <si>
    <t>Total Current liabilities</t>
  </si>
  <si>
    <t>(a) Property, plant and equipment</t>
  </si>
  <si>
    <t>(e) Financial assets</t>
  </si>
  <si>
    <t>(f) Other non-current assets</t>
  </si>
  <si>
    <t>(a) Inventories</t>
  </si>
  <si>
    <t>(b) Financial assets</t>
  </si>
  <si>
    <t>(c) Other current assets</t>
  </si>
  <si>
    <t>(b) Other equity</t>
  </si>
  <si>
    <t>(a) Financial liabilities</t>
  </si>
  <si>
    <t>(c) Deferred tax liabilities (net)</t>
  </si>
  <si>
    <t>(b) Other current liabilities</t>
  </si>
  <si>
    <t>-</t>
  </si>
  <si>
    <t>A) CASH FLOW FROM OPERATING ACTIVITIES</t>
  </si>
  <si>
    <t>Adjustments for:</t>
  </si>
  <si>
    <t>Finance costs recognised in profit or loss</t>
  </si>
  <si>
    <t>Investment income recognised in profit or loss</t>
  </si>
  <si>
    <t>Net foreign exchange (gain)/loss</t>
  </si>
  <si>
    <t>Operating profit before working capital changes</t>
  </si>
  <si>
    <t>B) CASH FLOW FROM INVESTING ACTIVITIES</t>
  </si>
  <si>
    <t>Amounts advanced to related parties</t>
  </si>
  <si>
    <t>Payments for property, plant and equipment (Net)</t>
  </si>
  <si>
    <t>Capital WIP</t>
  </si>
  <si>
    <t>Payments for intangible assets</t>
  </si>
  <si>
    <t>Net cash used in investing activities (B)</t>
  </si>
  <si>
    <t>C) Cash flows from financing activities</t>
  </si>
  <si>
    <t>Proceeds from issue of equity instruments of the Company</t>
  </si>
  <si>
    <t>Payment for share issue costs</t>
  </si>
  <si>
    <t>Proceeds from borrowings</t>
  </si>
  <si>
    <t>Repayment of borrowings</t>
  </si>
  <si>
    <t>Finance Cost</t>
  </si>
  <si>
    <t>Prior Period &amp; other items /Taxes</t>
  </si>
  <si>
    <t>Dividends paid to owners of the Company</t>
  </si>
  <si>
    <t>Net cash flow from /(utilised in) financing activities (C)</t>
  </si>
  <si>
    <t>Net Increase / (Decrease) in Cash and Cash equivalents (A+B+C)</t>
  </si>
  <si>
    <t>Payments to acquire financial assets</t>
  </si>
  <si>
    <t>Proceeds from disposal of property, plant and equipment</t>
  </si>
  <si>
    <t xml:space="preserve">  from banks and others</t>
  </si>
  <si>
    <t xml:space="preserve">  Other Income</t>
  </si>
  <si>
    <t>Net (gain)/loss recorded in profit or loss on financial liabilities designated as fair value through profit or loss</t>
  </si>
  <si>
    <t>Increase/(Decrease) in trade payables</t>
  </si>
  <si>
    <t>Increase/(Decrease) in other financial non-current liabilities</t>
  </si>
  <si>
    <t>Increase/(Decrease) in other non-current liabilities</t>
  </si>
  <si>
    <t>Increase/(Decrease) in other current financial liabilities</t>
  </si>
  <si>
    <t>(Increase)/Decrease in other current assets</t>
  </si>
  <si>
    <t>(Increase)/Decrease in other non-current assets</t>
  </si>
  <si>
    <t>Increase/(Decrease) in other current liabilities</t>
  </si>
  <si>
    <t>(Increase)/Decrease in trade receivables</t>
  </si>
  <si>
    <t>(Increase)/Decrease in inventories</t>
  </si>
  <si>
    <t>Cash Flow from Operations</t>
  </si>
  <si>
    <t>(Increase)/Decrease in current loans &amp; advances / other financial assets</t>
  </si>
  <si>
    <t>(Increase)/Decrease in loans &amp; advances other non-current financial assets</t>
  </si>
  <si>
    <t xml:space="preserve"> (Rs. in Crores)</t>
  </si>
  <si>
    <t xml:space="preserve">Provision for non cash items </t>
  </si>
  <si>
    <t xml:space="preserve">Loss on disposal of property, plant and equipment </t>
  </si>
  <si>
    <t xml:space="preserve">Depreciation and amortisation of non-current assets </t>
  </si>
  <si>
    <t>Movements in working capital:</t>
  </si>
  <si>
    <t>(Increase)/decrease in other current and non current financial assets</t>
  </si>
  <si>
    <t>Income taxes (paid)/ Refunds (net)</t>
  </si>
  <si>
    <t>Net cash flow from / (utilized in)in operating activities (A)</t>
  </si>
  <si>
    <t>(2) Non current liabilities</t>
  </si>
  <si>
    <t xml:space="preserve">(b) Right of use assets </t>
  </si>
  <si>
    <t xml:space="preserve">(c) Capital work-in-progress </t>
  </si>
  <si>
    <t xml:space="preserve">(d) Intangible assets </t>
  </si>
  <si>
    <t xml:space="preserve">(i) Investments </t>
  </si>
  <si>
    <t xml:space="preserve">(ii) Other financial assets </t>
  </si>
  <si>
    <t xml:space="preserve">(g) Non-current tax assets (net) </t>
  </si>
  <si>
    <t xml:space="preserve">Total Non-current Assets </t>
  </si>
  <si>
    <t>(ii) Trade receivables</t>
  </si>
  <si>
    <t>(iii) Cash and cash equivalents</t>
  </si>
  <si>
    <t xml:space="preserve">(iv) Bank balances other than (iii) above </t>
  </si>
  <si>
    <t xml:space="preserve">(v) Loans </t>
  </si>
  <si>
    <t xml:space="preserve">(vi) Other financial assets </t>
  </si>
  <si>
    <t xml:space="preserve">TOTAL ASSETS </t>
  </si>
  <si>
    <t xml:space="preserve">(a) Equity share capital </t>
  </si>
  <si>
    <t xml:space="preserve">Total Equity </t>
  </si>
  <si>
    <t xml:space="preserve">(i) Borrowings </t>
  </si>
  <si>
    <t xml:space="preserve">(ii) Lease Liabilities </t>
  </si>
  <si>
    <t>(iii) Other Financial Liabilities</t>
  </si>
  <si>
    <t xml:space="preserve">(b) Long Term Provisions </t>
  </si>
  <si>
    <t xml:space="preserve">Total Non-current Liabilities </t>
  </si>
  <si>
    <t>(i) Borrowings</t>
  </si>
  <si>
    <t xml:space="preserve">(iii) Trade payables </t>
  </si>
  <si>
    <t>(iv) Other current financial liabilities</t>
  </si>
  <si>
    <t xml:space="preserve">(c) Short-term provisions </t>
  </si>
  <si>
    <t xml:space="preserve">(d) Current tax liabilities (net) </t>
  </si>
  <si>
    <t xml:space="preserve">Total Liabilities </t>
  </si>
  <si>
    <t>(iii)Loans</t>
  </si>
  <si>
    <t>Interest received</t>
  </si>
  <si>
    <t>Cash on Hand</t>
  </si>
  <si>
    <t xml:space="preserve">Cash at Bank </t>
  </si>
  <si>
    <t xml:space="preserve">Opening Cash and Cash Equivalents </t>
  </si>
  <si>
    <t>Cash at Bank</t>
  </si>
  <si>
    <t>Closing Cash and Cash Equivalents</t>
  </si>
  <si>
    <t>Net Profit / (Loss) before extra-ordinary items &amp; tax</t>
  </si>
  <si>
    <t>SEGMENTED REVENUE</t>
  </si>
  <si>
    <t>CAGR</t>
  </si>
  <si>
    <t>India</t>
  </si>
  <si>
    <t>2026E</t>
  </si>
  <si>
    <t>Overseas including deemed exports</t>
  </si>
  <si>
    <t>Operating Profit</t>
  </si>
  <si>
    <t>Interest</t>
  </si>
  <si>
    <t>Depreciation</t>
  </si>
  <si>
    <t>Profit before tax</t>
  </si>
  <si>
    <t>Tax %</t>
  </si>
  <si>
    <t xml:space="preserve">Sales </t>
  </si>
  <si>
    <t xml:space="preserve">Expenses </t>
  </si>
  <si>
    <t xml:space="preserve">Other Income </t>
  </si>
  <si>
    <t xml:space="preserve">Net Profit </t>
  </si>
  <si>
    <t>Q-o-q growth (%)</t>
  </si>
  <si>
    <t>QUARTERLY FINANCIALS</t>
  </si>
  <si>
    <t>Historical Period</t>
  </si>
  <si>
    <t>Forecast Period</t>
  </si>
  <si>
    <t>Financial Statements &amp; DCF Analysis</t>
  </si>
  <si>
    <t>Master Check</t>
  </si>
  <si>
    <r>
      <rPr>
        <b/>
        <sz val="12"/>
        <color rgb="FF0432FF"/>
        <rFont val="Book Antiqua"/>
        <family val="1"/>
      </rPr>
      <t>Blue- Hard Coded,</t>
    </r>
    <r>
      <rPr>
        <b/>
        <sz val="12"/>
        <color theme="1"/>
        <rFont val="Book Antiqua"/>
        <family val="1"/>
      </rPr>
      <t xml:space="preserve"> Black- Calculation </t>
    </r>
    <r>
      <rPr>
        <b/>
        <sz val="12"/>
        <color rgb="FF00B050"/>
        <rFont val="Book Antiqua"/>
        <family val="1"/>
      </rPr>
      <t>&amp; Green- Linkages</t>
    </r>
  </si>
  <si>
    <t>Revenue &amp; Cost Buildup</t>
  </si>
  <si>
    <t>LIVE SCENARIO</t>
  </si>
  <si>
    <t>Units</t>
  </si>
  <si>
    <t xml:space="preserve">Revenue Growth </t>
  </si>
  <si>
    <t>%</t>
  </si>
  <si>
    <t>Cost of Goods Sold (% of Revenue)</t>
  </si>
  <si>
    <t>Salaries and benefits (% of Revenue)</t>
  </si>
  <si>
    <t>Other SG&amp;A Expenses (% of Revenue)</t>
  </si>
  <si>
    <t>Depreciation &amp; Amortization Expenses (% of PP&amp;E)</t>
  </si>
  <si>
    <t>Interest (% of Debt)</t>
  </si>
  <si>
    <t>Other Income (Expenses) (% of Revenue)</t>
  </si>
  <si>
    <t>Effective Tax Rate (% of Earnings before Tax)</t>
  </si>
  <si>
    <t xml:space="preserve">Accounts Receivable </t>
  </si>
  <si>
    <t>Days</t>
  </si>
  <si>
    <t>Inventory</t>
  </si>
  <si>
    <t>Accounts Payable</t>
  </si>
  <si>
    <t>Income Statement</t>
  </si>
  <si>
    <t>INCOME</t>
  </si>
  <si>
    <t>Revenue</t>
  </si>
  <si>
    <r>
      <rPr>
        <b/>
        <sz val="11"/>
        <color theme="1"/>
        <rFont val="Calibri"/>
        <family val="2"/>
      </rPr>
      <t>₹</t>
    </r>
    <r>
      <rPr>
        <b/>
        <sz val="11"/>
        <color theme="1"/>
        <rFont val="Book Antiqua"/>
        <family val="1"/>
      </rPr>
      <t xml:space="preserve"> Cr</t>
    </r>
  </si>
  <si>
    <t>Cost of Good Sold (COGS)</t>
  </si>
  <si>
    <r>
      <rPr>
        <sz val="11"/>
        <color theme="1"/>
        <rFont val="Calibri"/>
        <family val="2"/>
      </rPr>
      <t>₹</t>
    </r>
    <r>
      <rPr>
        <sz val="11"/>
        <color theme="1"/>
        <rFont val="Book Antiqua"/>
        <family val="1"/>
      </rPr>
      <t xml:space="preserve"> Cr</t>
    </r>
  </si>
  <si>
    <t>Gross Profit</t>
  </si>
  <si>
    <t>EXPENSES</t>
  </si>
  <si>
    <t>Salaries and benefits</t>
  </si>
  <si>
    <t>Other SG&amp;A Expenses</t>
  </si>
  <si>
    <t>EBITDA</t>
  </si>
  <si>
    <t>Depreciation &amp; Amortization Expenses</t>
  </si>
  <si>
    <t>EBIT</t>
  </si>
  <si>
    <t>Other Income (Expenses)</t>
  </si>
  <si>
    <t>Earnings before Tax</t>
  </si>
  <si>
    <t>Taxes</t>
  </si>
  <si>
    <t>Net Earnings</t>
  </si>
  <si>
    <t>Balance Sheet</t>
  </si>
  <si>
    <t>Assets</t>
  </si>
  <si>
    <t>Current Assets:</t>
  </si>
  <si>
    <t>Cash</t>
  </si>
  <si>
    <t>Bank Deposits</t>
  </si>
  <si>
    <t>Accounts Receivable</t>
  </si>
  <si>
    <t>Other Current Assets</t>
  </si>
  <si>
    <t>Non-Current Assets:</t>
  </si>
  <si>
    <t>Property &amp; Equipment</t>
  </si>
  <si>
    <t>Goodwill</t>
  </si>
  <si>
    <t>Financial Assets</t>
  </si>
  <si>
    <t>Other Non-Current Assets</t>
  </si>
  <si>
    <t>Total Assets</t>
  </si>
  <si>
    <t>Liabilities</t>
  </si>
  <si>
    <t>Current Liabilities:</t>
  </si>
  <si>
    <t>Other Current Liability</t>
  </si>
  <si>
    <t>Non-Current Liabilities:</t>
  </si>
  <si>
    <t>Debt</t>
  </si>
  <si>
    <t>Other Non-Current Liability</t>
  </si>
  <si>
    <t>Total Liabilities</t>
  </si>
  <si>
    <t>Shareholder's Equity</t>
  </si>
  <si>
    <t>Equity Capital</t>
  </si>
  <si>
    <t>Retained Earnings</t>
  </si>
  <si>
    <t>Total Liabilities &amp; Shareholder's Equity</t>
  </si>
  <si>
    <t>Check</t>
  </si>
  <si>
    <t>Cash Flow Statement</t>
  </si>
  <si>
    <t>Operating Cash Flow</t>
  </si>
  <si>
    <t>Plus: Depreciation &amp; Amortization</t>
  </si>
  <si>
    <t>Plus/Less: Other Adjustments</t>
  </si>
  <si>
    <t>Plus/Less: Adjustment for Operating Assets &amp; Liabilities</t>
  </si>
  <si>
    <t>Cash From Operations</t>
  </si>
  <si>
    <t>Investing Cash Flow</t>
  </si>
  <si>
    <t>Investments/Proceeds from Property &amp; Equipment</t>
  </si>
  <si>
    <t>Proceeds from sale of assets</t>
  </si>
  <si>
    <t>Purchases/sale of investments</t>
  </si>
  <si>
    <t>Dividend received</t>
  </si>
  <si>
    <t>Cash from Investing</t>
  </si>
  <si>
    <t>Financing Cash Flow</t>
  </si>
  <si>
    <t>Issuance(repayment) of debt</t>
  </si>
  <si>
    <t>Dividends paid</t>
  </si>
  <si>
    <t>Interest paid</t>
  </si>
  <si>
    <t>Cash from Financing</t>
  </si>
  <si>
    <t>Net Increase (decrease) in Cash</t>
  </si>
  <si>
    <t>Opening Cash Balance</t>
  </si>
  <si>
    <t>Closing Cash Balance</t>
  </si>
  <si>
    <t>Supporting Schedules</t>
  </si>
  <si>
    <t>Working Capital</t>
  </si>
  <si>
    <t>Others</t>
  </si>
  <si>
    <t>Total</t>
  </si>
  <si>
    <t>Depreciation Schedule</t>
  </si>
  <si>
    <t>PPE Opening</t>
  </si>
  <si>
    <t>Plus Capex</t>
  </si>
  <si>
    <t>Less Depreciation</t>
  </si>
  <si>
    <t>PPE Closing</t>
  </si>
  <si>
    <t>Debt &amp; Interest Schedule</t>
  </si>
  <si>
    <t>Debt Opening</t>
  </si>
  <si>
    <t>Issuance (repayment)</t>
  </si>
  <si>
    <t>Debt Closing</t>
  </si>
  <si>
    <t>Interest Expense</t>
  </si>
  <si>
    <t>DCF Model</t>
  </si>
  <si>
    <t>Assumptions</t>
  </si>
  <si>
    <t>Transaction Date</t>
  </si>
  <si>
    <t>Fiscal Year End</t>
  </si>
  <si>
    <t>Tax Rate</t>
  </si>
  <si>
    <t>EV/EBITDA Multiple</t>
  </si>
  <si>
    <t>Perpetual Growth Rate</t>
  </si>
  <si>
    <t>Discount Rate</t>
  </si>
  <si>
    <t>Shares Outstanding</t>
  </si>
  <si>
    <t>Current Price</t>
  </si>
  <si>
    <t>Discounted Cash Flow</t>
  </si>
  <si>
    <t>Entry</t>
  </si>
  <si>
    <t>Date</t>
  </si>
  <si>
    <t>Time periods</t>
  </si>
  <si>
    <t>Year frac.</t>
  </si>
  <si>
    <t>Less: Cash Taxes</t>
  </si>
  <si>
    <t>NOPAT</t>
  </si>
  <si>
    <t>Less: Capex</t>
  </si>
  <si>
    <t>Less: Changes in NWC</t>
  </si>
  <si>
    <t>Unlevered FCFF</t>
  </si>
  <si>
    <t>Transaction FCFF</t>
  </si>
  <si>
    <t>Intrinsic Value</t>
  </si>
  <si>
    <t>Market Value</t>
  </si>
  <si>
    <t>Rate of Return</t>
  </si>
  <si>
    <t>Enterprise Value</t>
  </si>
  <si>
    <t>Market Cap</t>
  </si>
  <si>
    <t>Plus: Cash &amp; Equivalents</t>
  </si>
  <si>
    <t>Plus: Debt</t>
  </si>
  <si>
    <t>Target Price</t>
  </si>
  <si>
    <t>Less: Debt</t>
  </si>
  <si>
    <t>Plus: Non-Controlling Interest</t>
  </si>
  <si>
    <t>Less: Non-Controlling Interest</t>
  </si>
  <si>
    <t>Less: Cash &amp; Equivalents</t>
  </si>
  <si>
    <t>Equity Value</t>
  </si>
  <si>
    <t>Equity Value/Share</t>
  </si>
  <si>
    <t>Exit</t>
  </si>
  <si>
    <t>Terminal Value</t>
  </si>
  <si>
    <t>EV/EBITDA</t>
  </si>
  <si>
    <t>Perp. Growth</t>
  </si>
  <si>
    <t>Average</t>
  </si>
  <si>
    <t>Scenarios</t>
  </si>
  <si>
    <t>Estimated</t>
  </si>
  <si>
    <t>Projected</t>
  </si>
  <si>
    <t>Bull Case</t>
  </si>
  <si>
    <t>Comps Data</t>
  </si>
  <si>
    <t>Company</t>
  </si>
  <si>
    <t>Ticker</t>
  </si>
  <si>
    <t>Price</t>
  </si>
  <si>
    <t>Shares</t>
  </si>
  <si>
    <t>Sales</t>
  </si>
  <si>
    <t>Net Income</t>
  </si>
  <si>
    <t>Source: Company Annual Reports</t>
  </si>
  <si>
    <t xml:space="preserve">  Navin Fluorine International</t>
  </si>
  <si>
    <t xml:space="preserve">  Gujarat Fluorochemicals</t>
  </si>
  <si>
    <t xml:space="preserve">  Aarti Industries</t>
  </si>
  <si>
    <t xml:space="preserve">  Deepak Nitrite</t>
  </si>
  <si>
    <t xml:space="preserve">  BASF India</t>
  </si>
  <si>
    <t xml:space="preserve">  Atul Ltd</t>
  </si>
  <si>
    <t>NAVINFLUOR</t>
  </si>
  <si>
    <t>FLUOROCHEM</t>
  </si>
  <si>
    <t>AARTIIND</t>
  </si>
  <si>
    <t>ATUL</t>
  </si>
  <si>
    <t>DEEPAKNTR</t>
  </si>
  <si>
    <t>BASF</t>
  </si>
  <si>
    <t>Comps Valuation</t>
  </si>
  <si>
    <t>Market Data</t>
  </si>
  <si>
    <t>Financial Data</t>
  </si>
  <si>
    <t>Valuation</t>
  </si>
  <si>
    <t>EV</t>
  </si>
  <si>
    <t>Earnings</t>
  </si>
  <si>
    <t>EV/Sales</t>
  </si>
  <si>
    <t>P/E</t>
  </si>
  <si>
    <t>Company Name</t>
  </si>
  <si>
    <r>
      <t>(</t>
    </r>
    <r>
      <rPr>
        <sz val="12"/>
        <color theme="0"/>
        <rFont val="Calibri"/>
        <family val="2"/>
      </rPr>
      <t>₹</t>
    </r>
    <r>
      <rPr>
        <i/>
        <sz val="10.8"/>
        <color theme="0"/>
        <rFont val="Book Antiqua"/>
        <family val="1"/>
      </rPr>
      <t>/share)</t>
    </r>
  </si>
  <si>
    <t>Cr</t>
  </si>
  <si>
    <t>₹ Cr</t>
  </si>
  <si>
    <t>&amp; Equivalents</t>
  </si>
  <si>
    <t>x</t>
  </si>
  <si>
    <t>Median</t>
  </si>
  <si>
    <t>Metric</t>
  </si>
  <si>
    <t>Comps</t>
  </si>
  <si>
    <t>Net Debt</t>
  </si>
  <si>
    <t>Share Price</t>
  </si>
  <si>
    <t>EV/Revenue</t>
  </si>
  <si>
    <t>NEOGEN</t>
  </si>
  <si>
    <t>Equity Market Return</t>
  </si>
  <si>
    <t>Index</t>
  </si>
  <si>
    <t>Close Price</t>
  </si>
  <si>
    <t>Nifty 50 TRI</t>
  </si>
  <si>
    <t>Yearfrac</t>
  </si>
  <si>
    <t>Market Return</t>
  </si>
  <si>
    <t>Weighted-Average Cost of Capital (WACC)</t>
  </si>
  <si>
    <t>All Amounts Denominated in INR CRORES Unless Otherwise Stated</t>
  </si>
  <si>
    <t>Comparable Companies Beta</t>
  </si>
  <si>
    <t>Equity</t>
  </si>
  <si>
    <t xml:space="preserve">Total </t>
  </si>
  <si>
    <t>Debt/</t>
  </si>
  <si>
    <t>Tax</t>
  </si>
  <si>
    <t>Levered</t>
  </si>
  <si>
    <t>Unlevered</t>
  </si>
  <si>
    <t>Value</t>
  </si>
  <si>
    <t>Capital</t>
  </si>
  <si>
    <t>Rate %</t>
  </si>
  <si>
    <t>Beta</t>
  </si>
  <si>
    <t>WACC Calculation</t>
  </si>
  <si>
    <t>Target Capital Structure</t>
  </si>
  <si>
    <t>Proportion of Debt</t>
  </si>
  <si>
    <t>Proportion of Equity</t>
  </si>
  <si>
    <t>Current Capital Structure</t>
  </si>
  <si>
    <t>Total Debt</t>
  </si>
  <si>
    <t>Debt / Equity</t>
  </si>
  <si>
    <t>Cost of Debt</t>
  </si>
  <si>
    <t>Pre-Tax Cost of Debt</t>
  </si>
  <si>
    <t>After-Tax Cost of Debt</t>
  </si>
  <si>
    <t>Cost of Equity</t>
  </si>
  <si>
    <t>Risk Free Rate</t>
  </si>
  <si>
    <t>Equity Risk Premium</t>
  </si>
  <si>
    <t>Levered Equity Beta</t>
  </si>
  <si>
    <t>WACC</t>
  </si>
  <si>
    <t>Stock</t>
  </si>
  <si>
    <t>Min</t>
  </si>
  <si>
    <t>Max</t>
  </si>
  <si>
    <t>Company Description</t>
  </si>
  <si>
    <t>ISIN Code</t>
  </si>
  <si>
    <t>Sector Name</t>
  </si>
  <si>
    <t>Industry</t>
  </si>
  <si>
    <t>Exchange Name</t>
  </si>
  <si>
    <t>Website</t>
  </si>
  <si>
    <t>Current Market Price</t>
  </si>
  <si>
    <t>Company data</t>
  </si>
  <si>
    <t>Amount</t>
  </si>
  <si>
    <t>No of Outstanding shares</t>
  </si>
  <si>
    <t>Face Value per share</t>
  </si>
  <si>
    <t>Rs.</t>
  </si>
  <si>
    <t>Market Capitalisation</t>
  </si>
  <si>
    <t>Company Export data</t>
  </si>
  <si>
    <t>Year</t>
  </si>
  <si>
    <t>Headings</t>
  </si>
  <si>
    <t>Neogen Chemicals Limited is an India-based specialty chemicals manufacturer with strong expertise in bromine-based and lithium-based chemistries. The company supplies high-value chemical solutions to industries such as pharmaceuticals, agrochemicals, electronics, polymers, water treatment, and energy storage. Neogen has a growing global presence with exports to 30+ countries, supported by advanced manufacturing facilities in India and strong R&amp;D capabilities. The company is also expanding its lithium-ion battery materials business to support the rapidly growing electric vehicle (EV) ecosystem.</t>
  </si>
  <si>
    <t>Neogen Chemicals Limited</t>
  </si>
  <si>
    <t>INE136S01016</t>
  </si>
  <si>
    <t>Chemicals</t>
  </si>
  <si>
    <t>Specialty Chemicals</t>
  </si>
  <si>
    <t>BSE: 542665, NSE: NEOGEN</t>
  </si>
  <si>
    <t>https://neogenchem.com/</t>
  </si>
  <si>
    <t>Company Beta</t>
  </si>
  <si>
    <t>Return</t>
  </si>
  <si>
    <t>Monthly</t>
  </si>
  <si>
    <t>Subtotal of adjustments</t>
  </si>
  <si>
    <t>Equity issued</t>
  </si>
  <si>
    <t>Exceptional items</t>
  </si>
  <si>
    <t xml:space="preserve"> Particulars</t>
  </si>
  <si>
    <t>Dividends Payout</t>
  </si>
  <si>
    <t>TP Downside</t>
  </si>
  <si>
    <t>Other items</t>
  </si>
  <si>
    <t xml:space="preserve">Revenue Assumption </t>
  </si>
  <si>
    <t>Base Case</t>
  </si>
  <si>
    <t>Bear case</t>
  </si>
  <si>
    <t>Cash and Cash equivalents are taken from the closing cash balance of cash flow statements.</t>
  </si>
  <si>
    <t>Other Current Assets, Financial Assets, Other Non-Current Assets, Other Current Liability and Other Non-Current Liability and  taken from the last audited year i.e 2025 and assumed to be remain constant throughout the forecasted period i.e from (2026-35).</t>
  </si>
  <si>
    <t>Ratios and their Interpretations</t>
  </si>
  <si>
    <t>Ratio Analysis</t>
  </si>
  <si>
    <t>Interpretation of ratios</t>
  </si>
  <si>
    <t>Particulars</t>
  </si>
  <si>
    <t>Trend</t>
  </si>
  <si>
    <t>Audited</t>
  </si>
  <si>
    <t>Profitability Ratios</t>
  </si>
  <si>
    <t>Gross Margin</t>
  </si>
  <si>
    <t>EBITDA Margin</t>
  </si>
  <si>
    <t>Operating Margin</t>
  </si>
  <si>
    <t>Pretax Margin</t>
  </si>
  <si>
    <t>Effective Tax rate</t>
  </si>
  <si>
    <t>Net Margin</t>
  </si>
  <si>
    <t>DuPont/Earning Power</t>
  </si>
  <si>
    <t>Asset Turnover</t>
  </si>
  <si>
    <t>Pre tax ROA</t>
  </si>
  <si>
    <t>Pre Tax ROE</t>
  </si>
  <si>
    <t>Tax Complement</t>
  </si>
  <si>
    <t>ROE</t>
  </si>
  <si>
    <t>Equity Retention</t>
  </si>
  <si>
    <t>Reinvestment Rate</t>
  </si>
  <si>
    <t>Liquidity Ratio</t>
  </si>
  <si>
    <t>Quick ratio</t>
  </si>
  <si>
    <t>Current ratio</t>
  </si>
  <si>
    <t>Cash Cycle (Days)</t>
  </si>
  <si>
    <t>Leverage</t>
  </si>
  <si>
    <t>Asset/Equity</t>
  </si>
  <si>
    <t>Debt/Equity</t>
  </si>
  <si>
    <t>% LT Debt to Total Capital</t>
  </si>
  <si>
    <t>Operating</t>
  </si>
  <si>
    <t>A/R Turnover</t>
  </si>
  <si>
    <t>Avg. A/R Days</t>
  </si>
  <si>
    <t>Inventory Turnover</t>
  </si>
  <si>
    <t>Avg. Inventory Days</t>
  </si>
  <si>
    <t>A/P Turnover</t>
  </si>
  <si>
    <t>Avg. A/P Days</t>
  </si>
  <si>
    <t>Fixed Asset Turnover</t>
  </si>
  <si>
    <t>ROIC</t>
  </si>
  <si>
    <t>Financial Model</t>
  </si>
  <si>
    <t>Inputs</t>
  </si>
  <si>
    <t>Historical Financial Statement</t>
  </si>
  <si>
    <t>Revenue &amp; Cost buildup</t>
  </si>
  <si>
    <t>Calculation &amp; Analysis</t>
  </si>
  <si>
    <t>Debt Schedule</t>
  </si>
  <si>
    <t>Sensitivity Analysis</t>
  </si>
  <si>
    <t>Outputs</t>
  </si>
  <si>
    <t>Comparables Analysis</t>
  </si>
  <si>
    <t>Valuation Summary</t>
  </si>
  <si>
    <t>Valuation Summary - Football Field</t>
  </si>
  <si>
    <t>High</t>
  </si>
  <si>
    <t>Low</t>
  </si>
  <si>
    <t>Market</t>
  </si>
  <si>
    <t>DCF</t>
  </si>
  <si>
    <t>52-week hi/lo</t>
  </si>
  <si>
    <t>Consensus</t>
  </si>
  <si>
    <t>Sensitivties - Intrinsic Value (Rs./Share)</t>
  </si>
  <si>
    <t>Exit Multiple</t>
  </si>
  <si>
    <t>Broker Analysis</t>
  </si>
  <si>
    <t>LTP</t>
  </si>
  <si>
    <t>IDBI Capita</t>
  </si>
  <si>
    <t>ICICI Securities Limited</t>
  </si>
  <si>
    <t>Kotak Securities Limited</t>
  </si>
  <si>
    <t>No's</t>
  </si>
  <si>
    <t>INR in cr</t>
  </si>
  <si>
    <t>Revenue in Cr</t>
  </si>
  <si>
    <t xml:space="preserve">Capital Asset turnover </t>
  </si>
  <si>
    <t>Reference</t>
  </si>
  <si>
    <t>M8:V8</t>
  </si>
  <si>
    <t>M9:V9          M10:V10        M11:V11</t>
  </si>
  <si>
    <t>COGS, Salaries &amp; Benefits and Other SG&amp;A Expenses  is taken as average of last 5 audited years and assumed to be remain constatnt throughout the projection period.</t>
  </si>
  <si>
    <t>M12:V12</t>
  </si>
  <si>
    <t>M13:V13</t>
  </si>
  <si>
    <t>M14:V14</t>
  </si>
  <si>
    <t>Other income was computed by taking the average of historical years and is assumed to remain constant throughout the projected period.</t>
  </si>
  <si>
    <t>M15:V15</t>
  </si>
  <si>
    <t>M16:V16</t>
  </si>
  <si>
    <t>M17:V17,   M18:V18,    M19:V19</t>
  </si>
  <si>
    <t>Trade Receivables, Inventory, and Trade Payables were calculated by determining the DSO, DIO, and DPO for all five audited years. The average of these metrics was then taken and assumed to remain constant during the forecasted years. These constant ratios were subsequently multiplied by the Revenue and Inventory of the respective forecast years to estimate the values.</t>
  </si>
  <si>
    <t>M20:V20</t>
  </si>
  <si>
    <t>M118:V118</t>
  </si>
  <si>
    <t>Debt Issuance/Repayment is assumed to be Zero for thr forecasted years.</t>
  </si>
  <si>
    <t xml:space="preserve">The FY2025 depreciation rate of 3.6% is taken as the base. For FY2026, the rate is increased by 0.5% to 4.1%, and thereafter, it is assumed to increase by 0.5% every two years over the forecast period, reflecting a gradual rise in asset base and capital intensity.
</t>
  </si>
  <si>
    <t>Interest rate was calculated as average of last 4 audited years which is coming 12% and then assumed to be remain same throughout the forecasted period.</t>
  </si>
  <si>
    <t>Dividend Payout is assumed as average of the last 5 years which is coming closer to 15.31% which is assumed to be the dividend payments throughout the forecast period</t>
  </si>
  <si>
    <t xml:space="preserve">Bank deposits are based on the historical trend of relatively low balances in prior years. Considering the company’s operational cash utilization, it is assumed that no significant surplus funds will be maintained in bank deposits going forward, and hence the balance is projected to remain minimal/negligible throughout the forecast period.
</t>
  </si>
  <si>
    <t>M42:V42</t>
  </si>
  <si>
    <t>M43:V43</t>
  </si>
  <si>
    <t xml:space="preserve">M46:V46           M50:V50         M53:V53             M51:V51            M57:V57   </t>
  </si>
  <si>
    <t>M65:V65</t>
  </si>
  <si>
    <t xml:space="preserve">Shareholders’ Equity is projected based on the retention of earnings over the forecast period , with no major changes in equity structure such as fresh equity issuance or buybacks. The increase in equity is primarily driven by internal accruals (retained earnings), reflecting a stable growth trajectory of the company while maintaining a consistent capital structure.
</t>
  </si>
  <si>
    <t>Capital Expenditure (Capex) has been estimated using the average of the last four historical years to normalize fluctuations. For the projected period, Capex is assumed to grow at a steady rate of 0.5% annually, reflecting stable operations and ongoing maintenance requirements. This represents a conservative and realistic assumption.</t>
  </si>
  <si>
    <t>The FY2025 effective tax rate of 30.6% is taken as the base. For FY2026, the rate is normalized to 30.76%, increasing by 0.20%. Thereafter, the rate is assumed to increase by 0.20% every two years over the forecast period, reflecting a gradual rise in line with prevailing corporate tax trends in India.</t>
  </si>
  <si>
    <t>q</t>
  </si>
  <si>
    <t>Annual Growth Tampering</t>
  </si>
  <si>
    <t>Growth (%)</t>
  </si>
  <si>
    <t xml:space="preserve">For FY2026, revenue growth is assumed at 7.0% based on management guidance, industry outlook, and analyst expectations. The bull case is derived by adding 5.0% to the base case growth, resulting in 12.0%, while the bear case is derived by reducing 5.0%, resulting in 2.0%. In all scenarios, the growth rate is gradually tapered by 6.0% over the forecast period, reaching approximately 4.0% by FY2035, reflecting a conservative long-term normalization approach.
</t>
  </si>
  <si>
    <t>Gross margin improved from 41.25% in FY21 to 45.59% in FY25, reflecting better product mix, improved pricing power, and operating efficiencies in the specialty chemicals segment. The increase indicates the company’s ability to manage raw material costs while maintaining healthy realization from customers. However, from FY26 onwards, the margin is projected to stabilize at 43.68%, suggesting a normalized margin environment after peak expansion years. The stable forecast assumes balanced raw material prices, steady demand, and no major pricing disruptions. Overall, the trend reflects strong core profitability and disciplined cost management, supporting long-term earnings quality and operational sustainability across the forecast period.</t>
  </si>
  <si>
    <t>EBITDA margin declined from 19.13% in FY21 to 15.93% in FY24, primarily due to higher raw material costs, inflationary pressure, increased operating expenses, and margin compression across the business. However, the margin recovered to 17.53% in FY25, indicating improvement in operational efficiency, better product mix, and partial normalization of input costs. From FY26 onwards, EBITDA margin is projected to stabilize at 17.33%, reflecting a steady-state operating environment and management’s expectation of sustainable profitability. The stable margin assumption suggests disciplined cost control, balanced pricing strategy, and consistent operating leverage, supporting long-term cash flow generation and earnings stability across the forecast period.</t>
  </si>
  <si>
    <t>Operating margin declined from 17.08% in FY21 to 12.62% in FY24, mainly due to rising raw material costs, higher employee and operational expenses, and pressure on overall operating efficiency. The margin improved to 13.96% in FY25, reflecting gradual recovery supported by better cost management, improved capacity utilization, and stabilization in input prices. During the forecast period, operating margin is expected to moderate gradually from 14.59% in FY26 to 12.64% in FY35. The decline reflects normalization of margins, competitive pricing pressure, and higher depreciation and operating costs associated with future expansion. Overall, the company is expected to maintain stable operating profitability despite moderate long-term margin compression.</t>
  </si>
  <si>
    <t>Pretax margin declined significantly from 13.14% in FY21 to 6.45% in FY25, indicating pressure on overall profitability due to rising finance costs, higher depreciation, increased operating expenses, and margin compression across the business. The sharp decline suggests that earnings growth was impacted despite revenue expansion. However, from FY26 onwards, pretax margin is expected to gradually improve and stabilize in the range of 7%–8%, supported by operating recovery, better utilization of expanded capacity, and normalization of cost structures. The projected improvement reflects management’s focus on profitability enhancement and operational efficiency. Overall, the trend indicates gradual earnings stabilization with moderate long-term profitability improvement across the forecast period.</t>
  </si>
  <si>
    <t>The effective tax rate remained volatile during the historical period, moving from 29.13% in FY21 to 21.80% in FY22, before increasing to 32.44% in FY24 and moderating to 30.56% in FY25. The fluctuations were primarily driven by changes in taxable income, deferred tax adjustments, tax incentives, and variations in the company’s earnings mix across business segments. During the forecast period, the effective tax rate is expected to remain broadly stable in the range of 30.7%–31.4%, reflecting a normalized tax structure and consistent profitability assumptions. The stable tax assumption supports predictability in net earnings and cash flow generation while aligning with the company’s long-term operational outlook and prevailing corporate tax framework.</t>
  </si>
  <si>
    <t>Net margin declined from 9.31% in FY21 to 4.48% in FY25, reflecting pressure on overall profitability due to rising operating costs, higher depreciation, increased finance expenses, and elevated tax outflows. The decline indicates that growth in revenue was not fully translated into bottom-line earnings during the period. However, from FY26 onwards, net margin is projected to gradually improve and stabilize in the range of 5%–6%, supported by better operational efficiency, improved capacity utilization, and normalization of cost structures. The recovery also reflects expected stability in finance costs and tax rates. Overall, the projected trend indicates gradual improvement in earnings quality and long-term profitability sustainability.</t>
  </si>
  <si>
    <t>Asset turnover declined from 75.47% in FY22 to 48.06% in FY26, indicating lower efficiency in utilizing assets to generate revenue. The decline was primarily driven by significant capital expenditure, capacity expansion, and growth in fixed assets ahead of revenue realization. This suggests that the company invested aggressively for future growth, while asset monetization remained gradual during the initial years. However, from FY27 onwards, asset turnover is projected to improve steadily and reach 58.26% by FY35, supported by higher capacity utilization, revenue growth, and improved operational efficiency. The improving trend indicates gradual optimization of the asset base and better productivity from long-term strategic investments across the forecast period.</t>
  </si>
  <si>
    <t>Pre-tax ROA declined from 8.84% in FY22 to 3.13% in FY25, reflecting reduced efficiency in generating earnings from the company’s asset base. The decline was primarily driven by lower pretax profitability, rising operating and finance costs, and significant capital expansion that increased total assets faster than earnings growth. The trend indicates temporary pressure on asset productivity during the expansion phase. However, from FY26 onwards, pre-tax ROA is projected to gradually improve and reach 4.75% by FY35, supported by better utilization of expanded capacities, operational recovery, and steady improvement in pretax earnings. The improving trend reflects gradual normalization in returns and enhanced efficiency in deploying long-term assets.</t>
  </si>
  <si>
    <t>Pre-tax ROE declined significantly from 18.34% in FY22 to 6.47% in FY25, indicating lower profitability generated on shareholders’ equity during the period. The decline was primarily driven by reduced pretax earnings, margin compression, rising finance costs, and expansion in the equity base through retained earnings and capital investments. This reflects temporary pressure on shareholder returns during the company’s growth and expansion phase. However, from FY26 onwards, pre-tax ROE is projected to gradually improve and stabilize in the range of 7%–9%, supported by recovery in profitability, improved operational efficiency, and better utilization of invested capital. The improving trend indicates gradual strengthening of earnings generation capability and long-term shareholder value creation.</t>
  </si>
  <si>
    <t>Tax complement remained relatively stable during the historical and forecast period, fluctuating between 0.68 and 0.78. The ratio declined from 0.78 in FY22 to 0.68 in FY24, reflecting an increase in the effective tax burden during the period. From FY25 onwards, the tax complement stabilized at approximately 0.69, indicating consistency in the company’s effective tax structure and normalized tax assumptions. The stable trend suggests limited volatility in tax outflows and improved predictability in post-tax earnings generation. Overall, the ratio reflects a balanced tax environment and supports stability in net profitability, cash flow planning, and long-term financial projections across the forecast period.</t>
  </si>
  <si>
    <t>ROE declined significantly from 14.34% in FY22 to 4.50% in FY25, indicating lower profitability generated from shareholders’ equity during the period. The decline was primarily driven by margin compression, higher operating and finance costs, increased depreciation, and expansion in the equity base through retained earnings and capital investments. This reflects temporary pressure on shareholder returns during the company’s investment and expansion phase. However, from FY26 onwards, ROE is projected to gradually improve and stabilize in the range of 5%–6%, supported by recovery in net profitability, improved operational efficiency, and better utilization of capital. The gradual improvement indicates stabilization in earnings generation and moderate long-term shareholder value creation.</t>
  </si>
  <si>
    <t>Equity retention ratio remained strong and relatively stable during the period, ranging between 0.79 and 0.88. The ratio declined to 0.79 in FY24, indicating comparatively higher dividend distribution or lower earnings retention during the year. However, from FY25 onwards, the retention ratio stabilized at approximately 0.85, reflecting the company’s consistent strategy of retaining a significant portion of earnings to support future growth, capital expenditure, and business expansion. The high retention level indicates management’s focus on reinvestment rather than aggressive dividend payouts. Overall, the stable retention ratio supports long-term growth potential, internal funding capacity, and financial flexibility while strengthening the company’s ability to finance expansion through retained earnings.</t>
  </si>
  <si>
    <t>Reinvestment rate remained highly volatile during the historical period, moving from 13.99% in FY22 to negative 24.05% in FY23, before sharply increasing to 211.79% in FY24. The volatility reflects fluctuations in capital expenditure, working capital requirements, and operating profitability during the company’s expansion phase. Negative reinvestment in certain years indicates lower reinvestment relative to earnings, while ratios above 100% suggest aggressive investment beyond internally generated profits, likely funded through debt or external capital. During the forecast period, reinvestment rate is projected to remain above 100%, reflecting continued capacity expansion, strategic growth investments, and management’s focus on long-term business scaling. The trend indicates an aggressive growth-oriented capital allocation strategy.</t>
  </si>
  <si>
    <t>Quick ratio improved from 1.37 in FY21 to 2.10 in FY22, indicating stronger short-term liquidity and improved ability to meet current obligations using liquid assets. The ratio remained healthy during the historical period, supported by higher cash balances, receivables, and efficient working capital management. However, from FY26 onwards, the quick ratio is projected to gradually decline and stabilize near 1.0x by FY35. The decline reflects increasing working capital utilization, expansion-related funding requirements, and gradual normalization of liquidity levels as operations scale. Despite the moderation, the ratio remains above or near the minimum acceptable level, indicating that the company is expected to maintain adequate short-term liquidity and financial flexibility throughout the forecast period.</t>
  </si>
  <si>
    <t>Current ratio remained extremely low during the historical and forecast period, increasing marginally from 0.002 in FY21 to 0.016 by FY35. The consistently low ratio indicates that current liabilities significantly exceed current assets, reflecting pressure on short-term liquidity and working capital coverage. The gradual improvement over the forecast period suggests modest strengthening in liquidity position supported by incremental growth in current assets and operational cash flows. However, the ratio remaining substantially below 1.0x indicates continued dependence on efficient cash flow management, short-term funding support, and working capital discipline to meet near-term obligations. Overall, the trend reflects a constrained liquidity position and highlights the importance of maintaining stable operational cash generation.</t>
  </si>
  <si>
    <t>Cash conversion cycle increased from 173.78 days in FY21 to 375.83 days in FY24, indicating significant pressure on working capital efficiency during the period. The increase was primarily driven by higher inventory holding periods, slower receivable collections, and expansion-related operational buildup. However, the cycle improved sharply to 133.62 days in FY25, reflecting better working capital management, improved collection efficiency, and normalization in inventory levels. From FY26 onwards, the cash cycle is projected to stabilize at approximately 223 days, indicating a consistent operating cycle aligned with the company’s business model and industry dynamics. The stable trend suggests predictable working capital requirements, although the relatively high cycle indicates continued capital blockage within operations and inventory management.</t>
  </si>
  <si>
    <t>The asset-to-equity ratio declined from 2.69x in FY21 to 1.78x by FY35, indicating gradual reduction in financial leverage over the period. The historical fluctuations reflect changes in debt levels, capital expenditure funding, and growth in shareholders’ equity through retained earnings. The decline in the ratio during the forecast period suggests that the company is expected to rely relatively less on external liabilities and maintain a stronger equity base to support future operations and expansion. This indicates improving balance sheet strength and lower financial risk over time. Overall, the trend reflects a gradual shift toward a more conservative capital structure, supported by internal accruals, earnings retention, and disciplined long-term financial management.</t>
  </si>
  <si>
    <t>Debt-to-equity ratio declined from 1.10x in FY21 to 0.44x by FY35, indicating gradual deleveraging and improvement in the company’s capital structure over the forecast period. Historical fluctuations were primarily driven by expansion-related borrowings, capital expenditure funding requirements, and growth in shareholders’ equity. The elevated ratio in certain years reflects the company’s dependence on debt financing during its expansion phase. However, the steady decline from FY26 onwards suggests repayment of borrowings, stronger internal accrual generation, and increasing equity support through retained earnings. The improving trend indicates lower financial risk, reduced dependence on external debt, and strengthening balance sheet stability, which supports long-term financial flexibility and sustainable growth.</t>
  </si>
  <si>
    <t>Long-term debt to total capital declined from 52% in FY21 to 31% by FY35, indicating gradual improvement in the company’s capital structure and reduced reliance on long-term borrowings. Historical fluctuations were primarily driven by debt-funded capital expenditure, expansion initiatives, and changes in the equity base. The higher ratio during certain years reflects increased leverage used to finance growth projects and capacity additions. However, the consistent decline during the forecast period suggests gradual repayment of long-term debt and stronger contribution from shareholders’ equity and retained earnings. The improving trend indicates lower financial leverage, reduced refinancing risk, and strengthening balance sheet quality, supporting long-term financial stability and improved flexibility for future growth investments.</t>
  </si>
  <si>
    <t>Accounts receivable turnover declined from 5.18x in FY22 to 3.01x in FY24, indicating slower collection efficiency and an increase in credit period extended to customers. The decline suggests that receivables grew faster than revenue during the period, likely due to expansion in business operations, customer mix changes, and higher working capital requirements. However, the ratio improved to 3.87x in FY26 and is projected to stabilize around 3.7x during the forecast period, reflecting normalization in collection cycles and more stable receivable management practices. The stable turnover trend indicates consistent cash collection efficiency, although the lower ratio compared to earlier years suggests relatively longer cash realization cycles and continued working capital intensity.</t>
  </si>
  <si>
    <t>Average accounts receivable days increased from 82.03 days in FY22 to 148.87 days in FY25, indicating slower customer collections and extended credit periods during the period. The increase suggests higher working capital blockage in receivables, likely driven by business expansion, changes in customer mix, and industry-specific credit practices. However, receivable days improved to 93.99 days in FY26 and are projected to stabilize at approximately 101 days throughout the forecast period. The stabilization reflects management’s expectation of consistent collection efficiency and normalized credit terms. Although the receivable cycle remains relatively high, the stable trend indicates predictable cash conversion patterns and manageable working capital requirements aligned with the company’s operating structure and growth strategy.</t>
  </si>
  <si>
    <t>Inventory turnover declined from 1.78x in FY22 to 1.13x in FY24, indicating slower movement of inventory and higher inventory holding levels during the period. The decline was primarily driven by expansion-related inventory buildup, higher raw material stocking, and relatively slower conversion of inventory into sales. This reflects increased working capital intensity and temporary pressure on inventory efficiency. However, the ratio improved to 1.41x in FY26 and is projected to stabilize around 1.35x during the forecast period, suggesting normalization in inventory management and operating cycles. The stable trend indicates consistent inventory utilization aligned with production requirements, although the relatively low turnover reflects continued high inventory holding requirements within the company’s business model and industry structure.</t>
  </si>
  <si>
    <t>Average inventory days increased from 210.60 days in FY21 to 364.95 days in FY24, indicating slower inventory movement and higher inventory holding during the expansion phase. The increase was primarily driven by higher raw material stocking, capacity expansion, and buildup of finished goods to support future demand and operational continuity. The elevated inventory period reflects significant working capital blockage and lower inventory conversion efficiency during the period. However, inventory days improved to 266.71 days in FY25 and are projected to stabilize at approximately 275 days throughout the forecast period. The stable trend suggests normalized inventory management aligned with the company’s production cycle, although the relatively high inventory holding period indicates continued working capital intensity within operations.</t>
  </si>
  <si>
    <t>Accounts payable turnover declined from 3.33x in FY22 to 2.04x in FY26, indicating slower payment cycles and increased credit utilization from suppliers during the period. The decline suggests that the company extended payment timelines to manage working capital requirements and support expansion-related operational needs. Lower payable turnover reflects greater dependence on supplier financing as part of the working capital strategy. However, from FY27 onwards, the ratio is projected to stabilize around 2.4x, indicating consistent payment practices and normalized supplier credit terms. The stable trend suggests balanced working capital management and predictable cash outflows, although the relatively lower turnover indicates that the company is expected to continue utilizing trade credit as an important operational funding source.</t>
  </si>
  <si>
    <t>Average accounts payable days increased from 122.04 days in FY21 to 227.07 days in FY25, indicating that the company extended its payment cycle and utilized higher supplier credit during the period. The increase was primarily driven by working capital optimization efforts, expansion-related funding requirements, and stronger reliance on trade payables to support operations. Higher payable days helped partially offset pressure from elevated receivable and inventory cycles. However, payable days are projected to normalize and stabilize at approximately 153 days from FY26 onwards, reflecting consistent supplier payment practices and balanced working capital management. The stable trend indicates predictable cash outflows and continued use of trade credit as a key operational financing source while maintaining supplier relationship stability.</t>
  </si>
  <si>
    <t>Fixed asset turnover improved from 1.82x in FY22 to 2.03x in FY23, indicating efficient utilization of fixed assets to generate revenue during the period. However, the ratio declined to 1.34x in FY26 and is projected to gradually moderate to 1.17x by FY35. The decline primarily reflects significant capital expenditure, capacity expansion, and growth in the fixed asset base ahead of full revenue realization. This indicates that asset creation has outpaced short-term revenue generation during the expansion phase. The stable ratio in later years suggests gradual normalization in asset utilization and consistent operational efficiency. Overall, the trend reflects a long-term investment-driven growth strategy with moderate pressure on fixed asset productivity during the forecast period.</t>
  </si>
  <si>
    <t>ROIC declined from 8.14% in FY21 to 2.57% in FY25, indicating reduced efficiency in generating returns from invested capital during the expansion period. The decline was primarily driven by lower operating profitability, rising capital expenditure, increased working capital intensity, and growth in the invested capital base ahead of full earnings realization. This suggests that the company’s investments have not yet generated proportional returns during the initial expansion phase. However, from FY26 onwards, ROIC is projected to gradually improve and reach approximately 4.0% by FY35, supported by better capacity utilization, operational stabilization, and gradual improvement in profitability. The improving trend reflects expected recovery in capital efficiency and long-term value creation potential from strategic investments.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</si>
</sst>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0">
    <numFmt numFmtId="43" formatCode="_ * #,##0.00_ ;_ * \-#,##0.00_ ;_ * &quot;-&quot;??_ ;_ @_ "/>
    <numFmt numFmtId="164" formatCode="&quot;₹&quot;#,##0_);[Red]\(&quot;₹&quot;#,##0\)"/>
    <numFmt numFmtId="165" formatCode="&quot;₹&quot;#,##0.00_);[Red]\(&quot;₹&quot;#,##0.00\)"/>
    <numFmt numFmtId="166" formatCode="_(* #,##0.00_);_(* \(#,##0.00\);_(* &quot;-&quot;??_);_(@_)"/>
    <numFmt numFmtId="167" formatCode="&quot;$&quot;#,##0_);\(&quot;$&quot;#,##0\)"/>
    <numFmt numFmtId="168" formatCode="&quot;$&quot;#,##0.00_);\(&quot;$&quot;#,##0.00\)"/>
    <numFmt numFmtId="169" formatCode="#,##0.00;\(#,##0.00\)"/>
    <numFmt numFmtId="170" formatCode="###0.00;\(#,##0.00\)"/>
    <numFmt numFmtId="171" formatCode="#,##0;\(#,##0\);&quot;-&quot;"/>
    <numFmt numFmtId="172" formatCode="mmm/yy&quot;E&quot;"/>
    <numFmt numFmtId="173" formatCode="#&quot;A&quot;"/>
    <numFmt numFmtId="174" formatCode="#&quot;E&quot;"/>
    <numFmt numFmtId="175" formatCode="#&quot;P&quot;"/>
    <numFmt numFmtId="176" formatCode=";;;"/>
    <numFmt numFmtId="177" formatCode="0.0%"/>
    <numFmt numFmtId="178" formatCode="#,##0.0;\(#,##0.0\);&quot;-&quot;"/>
    <numFmt numFmtId="179" formatCode="#,##0.000"/>
    <numFmt numFmtId="180" formatCode="#,##0.00;\(#,##0.00\);&quot;-&quot;"/>
    <numFmt numFmtId="181" formatCode="#,##0.0&quot;x&quot;"/>
    <numFmt numFmtId="182" formatCode="0.0000%"/>
    <numFmt numFmtId="183" formatCode="#,##0.0;[Red]#,##0.0"/>
    <numFmt numFmtId="184" formatCode="#,##0.0_);\(#,##0.0\)"/>
    <numFmt numFmtId="185" formatCode="0.0\x"/>
    <numFmt numFmtId="186" formatCode="_-* #,##0.00_-;\-* #,##0.00_-;_-* &quot;-&quot;??_-;_-@_-"/>
    <numFmt numFmtId="187" formatCode="_-* #,##0_-;\(#,##0\)_-;_-* &quot;-&quot;_-;_-@_-"/>
    <numFmt numFmtId="188" formatCode="_-* #,##0_-;\-* #,##0_-;_-* &quot;-&quot;??_-;_-@_-"/>
    <numFmt numFmtId="189" formatCode="#,##0.0"/>
    <numFmt numFmtId="190" formatCode="&quot;$&quot;#,##0;\-&quot;$&quot;#,##0"/>
    <numFmt numFmtId="191" formatCode="_ * #,##0_ ;_ * \-#,##0_ ;_ * &quot;-&quot;??_ ;_ @_ "/>
    <numFmt numFmtId="192" formatCode="[$-14009]dd/mm/yy;@"/>
    <numFmt numFmtId="193" formatCode="#,##0;\(#,##0\);&quot;0&quot;"/>
    <numFmt numFmtId="194" formatCode="#&quot;F&quot;"/>
    <numFmt numFmtId="195" formatCode="#,##0.00;[Red]#,##0.00"/>
    <numFmt numFmtId="196" formatCode="0.000\x"/>
    <numFmt numFmtId="197" formatCode="0.000&quot;x&quot;"/>
    <numFmt numFmtId="198" formatCode="_(* #,##0_);_(* \(#,##0\);_(* &quot;-&quot;??_);_(@_)"/>
    <numFmt numFmtId="199" formatCode="0.000"/>
    <numFmt numFmtId="200" formatCode="0.00\x"/>
    <numFmt numFmtId="201" formatCode="0.000%"/>
    <numFmt numFmtId="202" formatCode="#,##0.00&quot;x&quot;"/>
  </numFmts>
  <fonts count="105" x14ac:knownFonts="1">
    <font>
      <sz val="11"/>
      <color theme="1"/>
      <name val="Calibri"/>
      <family val="2"/>
    </font>
    <font>
      <b/>
      <sz val="11"/>
      <color theme="1"/>
      <name val="Calibri"/>
      <family val="2"/>
    </font>
    <font>
      <u/>
      <sz val="11"/>
      <color theme="10"/>
      <name val="Calibri"/>
      <family val="2"/>
      <scheme val="minor"/>
    </font>
    <font>
      <b/>
      <sz val="28"/>
      <color theme="0"/>
      <name val="Book Antiqua"/>
      <family val="1"/>
    </font>
    <font>
      <sz val="11"/>
      <color theme="1"/>
      <name val="Book Antiqua"/>
      <family val="1"/>
    </font>
    <font>
      <b/>
      <sz val="12"/>
      <color theme="0"/>
      <name val="Book Antiqua"/>
      <family val="1"/>
    </font>
    <font>
      <i/>
      <sz val="11"/>
      <color theme="0"/>
      <name val="Book Antiqua"/>
      <family val="1"/>
    </font>
    <font>
      <b/>
      <sz val="12"/>
      <color theme="1"/>
      <name val="Book Antiqua"/>
      <family val="1"/>
    </font>
    <font>
      <b/>
      <sz val="12"/>
      <color rgb="FF0432FF"/>
      <name val="Book Antiqua"/>
      <family val="1"/>
    </font>
    <font>
      <b/>
      <sz val="12"/>
      <color rgb="FF00B050"/>
      <name val="Book Antiqua"/>
      <family val="1"/>
    </font>
    <font>
      <b/>
      <i/>
      <sz val="12"/>
      <color theme="0"/>
      <name val="Book Antiqua"/>
      <family val="2"/>
    </font>
    <font>
      <b/>
      <sz val="12"/>
      <color theme="1"/>
      <name val="Calibri"/>
      <family val="2"/>
      <scheme val="minor"/>
    </font>
    <font>
      <b/>
      <sz val="11"/>
      <name val="Book Antiqua"/>
      <family val="1"/>
    </font>
    <font>
      <sz val="11"/>
      <name val="Book Antiqua"/>
      <family val="1"/>
    </font>
    <font>
      <b/>
      <sz val="11"/>
      <color rgb="FF000000"/>
      <name val="Book Antiqua"/>
      <family val="1"/>
    </font>
    <font>
      <sz val="11"/>
      <color rgb="FF000000"/>
      <name val="Book Antiqua"/>
      <family val="1"/>
    </font>
    <font>
      <sz val="11"/>
      <color rgb="FF0000FF"/>
      <name val="Book Antiqua"/>
      <family val="1"/>
    </font>
    <font>
      <b/>
      <sz val="11"/>
      <color theme="1"/>
      <name val="Book Antiqua"/>
      <family val="1"/>
    </font>
    <font>
      <b/>
      <sz val="12"/>
      <color rgb="FF000000"/>
      <name val="Calibri"/>
      <family val="2"/>
      <scheme val="minor"/>
    </font>
    <font>
      <sz val="12"/>
      <color rgb="FF000000"/>
      <name val="Calibri"/>
      <family val="2"/>
      <scheme val="minor"/>
    </font>
    <font>
      <i/>
      <sz val="11"/>
      <color rgb="FF000000"/>
      <name val="Book Antiqua"/>
      <family val="1"/>
    </font>
    <font>
      <b/>
      <sz val="11"/>
      <color rgb="FF7030A0"/>
      <name val="Calibri"/>
      <family val="2"/>
    </font>
    <font>
      <sz val="11"/>
      <color rgb="FF0000FF"/>
      <name val="Calibri"/>
      <family val="2"/>
    </font>
    <font>
      <sz val="11"/>
      <color rgb="FF7030A0"/>
      <name val="Calibri"/>
      <family val="2"/>
    </font>
    <font>
      <i/>
      <sz val="11"/>
      <color theme="1"/>
      <name val="Calibri"/>
      <family val="2"/>
    </font>
    <font>
      <b/>
      <sz val="14"/>
      <color theme="1"/>
      <name val="Calibri"/>
      <family val="2"/>
    </font>
    <font>
      <sz val="14"/>
      <color theme="1"/>
      <name val="Calibri"/>
      <family val="2"/>
    </font>
    <font>
      <b/>
      <sz val="11"/>
      <name val="Calibri"/>
      <family val="2"/>
    </font>
    <font>
      <b/>
      <sz val="11"/>
      <color rgb="FF0000FF"/>
      <name val="Calibri"/>
      <family val="2"/>
    </font>
    <font>
      <b/>
      <sz val="11"/>
      <color rgb="FF0000FF"/>
      <name val="Book Antiqua"/>
      <family val="1"/>
    </font>
    <font>
      <sz val="11"/>
      <name val="Calibri"/>
      <family val="2"/>
    </font>
    <font>
      <b/>
      <i/>
      <sz val="11"/>
      <color rgb="FF0000FF"/>
      <name val="Calibri"/>
      <family val="2"/>
    </font>
    <font>
      <sz val="11"/>
      <color theme="1"/>
      <name val="Calibri"/>
      <family val="2"/>
    </font>
    <font>
      <sz val="11"/>
      <color theme="0"/>
      <name val="Calibri"/>
      <family val="2"/>
    </font>
    <font>
      <b/>
      <sz val="25"/>
      <color theme="0"/>
      <name val="Book Antiqua"/>
      <family val="1"/>
    </font>
    <font>
      <b/>
      <sz val="11"/>
      <color theme="0"/>
      <name val="Book Antiqua"/>
      <family val="1"/>
    </font>
    <font>
      <sz val="11"/>
      <color theme="9" tint="-0.499984740745262"/>
      <name val="Book Antiqua"/>
      <family val="1"/>
    </font>
    <font>
      <b/>
      <i/>
      <sz val="11"/>
      <color theme="9" tint="-0.499984740745262"/>
      <name val="Book Antiqua"/>
      <family val="1"/>
    </font>
    <font>
      <sz val="12"/>
      <color theme="1"/>
      <name val="Book Antiqua"/>
      <family val="1"/>
    </font>
    <font>
      <b/>
      <sz val="16"/>
      <color theme="0"/>
      <name val="Book Antiqua"/>
      <family val="1"/>
    </font>
    <font>
      <i/>
      <sz val="11"/>
      <color theme="1"/>
      <name val="Book Antiqua"/>
      <family val="1"/>
    </font>
    <font>
      <b/>
      <sz val="11"/>
      <color theme="1"/>
      <name val="Book Antiqua"/>
      <family val="2"/>
    </font>
    <font>
      <sz val="11"/>
      <color theme="1"/>
      <name val="Book Antiqua"/>
      <family val="2"/>
    </font>
    <font>
      <sz val="11"/>
      <color rgb="FF00B050"/>
      <name val="Book Antiqua"/>
      <family val="1"/>
    </font>
    <font>
      <sz val="11"/>
      <color theme="1"/>
      <name val="Calibri"/>
      <family val="2"/>
      <scheme val="minor"/>
    </font>
    <font>
      <i/>
      <sz val="11"/>
      <name val="Book Antiqua"/>
      <family val="1"/>
    </font>
    <font>
      <b/>
      <sz val="12"/>
      <name val="Book Antiqua"/>
      <family val="1"/>
    </font>
    <font>
      <b/>
      <sz val="12"/>
      <color rgb="FF7030A0"/>
      <name val="Book Antiqua"/>
      <family val="1"/>
    </font>
    <font>
      <b/>
      <i/>
      <sz val="11"/>
      <color theme="1"/>
      <name val="Book Antiqua"/>
      <family val="1"/>
    </font>
    <font>
      <i/>
      <sz val="12"/>
      <color theme="1"/>
      <name val="Book Antiqua"/>
      <family val="1"/>
    </font>
    <font>
      <sz val="12"/>
      <color rgb="FF0000FF"/>
      <name val="Book Antiqua"/>
      <family val="1"/>
    </font>
    <font>
      <b/>
      <sz val="10"/>
      <color rgb="FF000000"/>
      <name val="Tahoma"/>
      <family val="2"/>
    </font>
    <font>
      <sz val="10"/>
      <color rgb="FF000000"/>
      <name val="Tahoma"/>
      <family val="2"/>
    </font>
    <font>
      <sz val="11"/>
      <color theme="0"/>
      <name val="Book Antiqua"/>
      <family val="1"/>
    </font>
    <font>
      <sz val="12"/>
      <color rgb="FF0432FF"/>
      <name val="Book Antiqua"/>
      <family val="1"/>
    </font>
    <font>
      <sz val="11"/>
      <color rgb="FF0432FF"/>
      <name val="Book Antiqua"/>
      <family val="1"/>
    </font>
    <font>
      <sz val="12"/>
      <color rgb="FF101113"/>
      <name val="Book Antiqua"/>
      <family val="1"/>
    </font>
    <font>
      <i/>
      <u/>
      <sz val="12"/>
      <color rgb="FF941100"/>
      <name val="Book Antiqua"/>
      <family val="1"/>
    </font>
    <font>
      <sz val="12"/>
      <color theme="0"/>
      <name val="Book Antiqua"/>
      <family val="1"/>
    </font>
    <font>
      <i/>
      <sz val="12"/>
      <color theme="0"/>
      <name val="Book Antiqua"/>
      <family val="1"/>
    </font>
    <font>
      <sz val="12"/>
      <color theme="0"/>
      <name val="Calibri"/>
      <family val="2"/>
    </font>
    <font>
      <i/>
      <sz val="10.8"/>
      <color theme="0"/>
      <name val="Book Antiqua"/>
      <family val="1"/>
    </font>
    <font>
      <sz val="10"/>
      <name val="Times New Roman"/>
      <family val="1"/>
    </font>
    <font>
      <sz val="12"/>
      <color rgb="FF00B050"/>
      <name val="Book Antiqua"/>
      <family val="1"/>
    </font>
    <font>
      <sz val="12"/>
      <name val="Book Antiqua"/>
      <family val="1"/>
    </font>
    <font>
      <sz val="11"/>
      <color theme="1"/>
      <name val="Arial Narrow"/>
      <family val="2"/>
    </font>
    <font>
      <sz val="8"/>
      <color theme="0"/>
      <name val="Book Antiqua"/>
      <family val="1"/>
    </font>
    <font>
      <b/>
      <sz val="14"/>
      <color rgb="FFFFFFFF"/>
      <name val="Book Antiqua"/>
      <family val="1"/>
    </font>
    <font>
      <b/>
      <sz val="12"/>
      <color rgb="FFFFFFFF"/>
      <name val="Book Antiqua"/>
      <family val="1"/>
    </font>
    <font>
      <i/>
      <sz val="10"/>
      <color theme="0"/>
      <name val="Book Antiqua"/>
      <family val="1"/>
    </font>
    <font>
      <b/>
      <sz val="12"/>
      <color rgb="FF0000FF"/>
      <name val="Book Antiqua"/>
      <family val="1"/>
    </font>
    <font>
      <sz val="12"/>
      <color rgb="FF1F995B"/>
      <name val="Book Antiqua"/>
      <family val="1"/>
    </font>
    <font>
      <sz val="8"/>
      <color rgb="FF0000FF"/>
      <name val="Book Antiqua"/>
      <family val="1"/>
    </font>
    <font>
      <b/>
      <sz val="14"/>
      <color rgb="FF0000FF"/>
      <name val="Book Antiqua"/>
      <family val="1"/>
    </font>
    <font>
      <sz val="10"/>
      <color rgb="FF0000FF"/>
      <name val="Book Antiqua"/>
      <family val="1"/>
    </font>
    <font>
      <b/>
      <sz val="10"/>
      <color rgb="FF0000FF"/>
      <name val="Book Antiqua"/>
      <family val="1"/>
    </font>
    <font>
      <sz val="22"/>
      <color theme="0"/>
      <name val="Calibri"/>
      <family val="2"/>
    </font>
    <font>
      <sz val="11"/>
      <color rgb="FF00B050"/>
      <name val="Calibri"/>
      <family val="2"/>
    </font>
    <font>
      <i/>
      <sz val="11"/>
      <color rgb="FF0000FF"/>
      <name val="Book Antiqua"/>
      <family val="1"/>
    </font>
    <font>
      <sz val="11"/>
      <color rgb="FFFF0000"/>
      <name val="Calibri"/>
      <family val="2"/>
    </font>
    <font>
      <b/>
      <i/>
      <sz val="12"/>
      <color rgb="FFFF0000"/>
      <name val="Book Antiqua"/>
      <family val="1"/>
    </font>
    <font>
      <b/>
      <sz val="12"/>
      <color rgb="FFFF0000"/>
      <name val="Book Antiqua"/>
      <family val="1"/>
    </font>
    <font>
      <b/>
      <sz val="9"/>
      <color rgb="FF000000"/>
      <name val="Tahoma"/>
      <family val="2"/>
    </font>
    <font>
      <sz val="9"/>
      <color rgb="FF000000"/>
      <name val="Tahoma"/>
      <family val="2"/>
    </font>
    <font>
      <b/>
      <sz val="11"/>
      <color theme="1"/>
      <name val="Calibri Light"/>
      <family val="1"/>
      <scheme val="major"/>
    </font>
    <font>
      <sz val="11"/>
      <color theme="1"/>
      <name val="Calibri Light"/>
      <family val="1"/>
      <scheme val="major"/>
    </font>
    <font>
      <sz val="11"/>
      <name val="Calibri Light"/>
      <family val="1"/>
      <scheme val="major"/>
    </font>
    <font>
      <sz val="18"/>
      <color theme="0"/>
      <name val="Calibri"/>
      <family val="2"/>
    </font>
    <font>
      <sz val="14"/>
      <color theme="0"/>
      <name val="Calibri"/>
      <family val="2"/>
    </font>
    <font>
      <sz val="24"/>
      <color theme="0"/>
      <name val="Calibri"/>
      <family val="2"/>
    </font>
    <font>
      <b/>
      <sz val="11"/>
      <color theme="1"/>
      <name val="Calibri Light"/>
      <family val="2"/>
      <scheme val="major"/>
    </font>
    <font>
      <b/>
      <sz val="14"/>
      <color theme="0"/>
      <name val="Calibri"/>
      <family val="2"/>
    </font>
    <font>
      <i/>
      <sz val="14"/>
      <color theme="0"/>
      <name val="Calibri"/>
      <family val="2"/>
    </font>
    <font>
      <sz val="12"/>
      <color theme="1"/>
      <name val="Calibri"/>
      <family val="2"/>
    </font>
    <font>
      <sz val="28"/>
      <color theme="0"/>
      <name val="Calibri"/>
      <family val="2"/>
    </font>
    <font>
      <b/>
      <sz val="28"/>
      <color theme="0"/>
      <name val="Calibri"/>
      <family val="2"/>
    </font>
    <font>
      <b/>
      <sz val="12"/>
      <color theme="1"/>
      <name val="Calibri"/>
      <family val="2"/>
    </font>
    <font>
      <b/>
      <sz val="16"/>
      <color theme="1"/>
      <name val="Calibri"/>
      <family val="2"/>
    </font>
    <font>
      <u/>
      <sz val="11"/>
      <color theme="1"/>
      <name val="Calibri"/>
      <family val="2"/>
      <scheme val="minor"/>
    </font>
    <font>
      <sz val="20"/>
      <color theme="0"/>
      <name val="Book Antiqua"/>
      <family val="1"/>
    </font>
    <font>
      <sz val="20"/>
      <color theme="0"/>
      <name val="Calibri"/>
      <family val="2"/>
    </font>
    <font>
      <i/>
      <sz val="12"/>
      <color theme="0"/>
      <name val="Calibri"/>
      <family val="2"/>
    </font>
    <font>
      <b/>
      <sz val="20"/>
      <color theme="0"/>
      <name val="Calibri"/>
      <family val="2"/>
    </font>
    <font>
      <b/>
      <sz val="18"/>
      <color theme="0"/>
      <name val="Calibri"/>
      <family val="2"/>
    </font>
    <font>
      <sz val="14"/>
      <color rgb="FF202020"/>
      <name val="Arial"/>
      <family val="2"/>
    </font>
  </fonts>
  <fills count="13">
    <fill>
      <patternFill patternType="none"/>
    </fill>
    <fill>
      <patternFill patternType="gray125"/>
    </fill>
    <fill>
      <patternFill patternType="solid">
        <fgColor rgb="FF7030A0"/>
        <bgColor indexed="64"/>
      </patternFill>
    </fill>
    <fill>
      <patternFill patternType="solid">
        <fgColor theme="4" tint="0.79998168889431442"/>
        <bgColor indexed="65"/>
      </patternFill>
    </fill>
    <fill>
      <patternFill patternType="solid">
        <fgColor theme="0" tint="-0.14999847407452621"/>
        <bgColor indexed="64"/>
      </patternFill>
    </fill>
    <fill>
      <patternFill patternType="solid">
        <fgColor rgb="FF3A128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tint="-4.9989318521683403E-2"/>
        <bgColor indexed="64"/>
      </patternFill>
    </fill>
  </fills>
  <borders count="26">
    <border>
      <left/>
      <right/>
      <top/>
      <bottom/>
      <diagonal/>
    </border>
    <border>
      <left/>
      <right/>
      <top/>
      <bottom style="thin">
        <color indexed="64"/>
      </bottom>
      <diagonal/>
    </border>
    <border>
      <left/>
      <right/>
      <top style="thin">
        <color indexed="64"/>
      </top>
      <bottom/>
      <diagonal/>
    </border>
    <border>
      <left/>
      <right style="medium">
        <color auto="1"/>
      </right>
      <top/>
      <bottom/>
      <diagonal/>
    </border>
    <border>
      <left/>
      <right/>
      <top/>
      <bottom style="medium">
        <color auto="1"/>
      </bottom>
      <diagonal/>
    </border>
    <border>
      <left/>
      <right/>
      <top style="thin">
        <color indexed="64"/>
      </top>
      <bottom style="double">
        <color indexed="64"/>
      </bottom>
      <diagonal/>
    </border>
    <border>
      <left/>
      <right style="medium">
        <color auto="1"/>
      </right>
      <top/>
      <bottom style="medium">
        <color auto="1"/>
      </bottom>
      <diagonal/>
    </border>
    <border>
      <left/>
      <right/>
      <top/>
      <bottom style="double">
        <color indexed="64"/>
      </bottom>
      <diagonal/>
    </border>
    <border>
      <left style="thick">
        <color theme="0"/>
      </left>
      <right/>
      <top/>
      <bottom/>
      <diagonal/>
    </border>
    <border>
      <left/>
      <right/>
      <top style="thin">
        <color indexed="64"/>
      </top>
      <bottom style="thin">
        <color indexed="64"/>
      </bottom>
      <diagonal/>
    </border>
    <border>
      <left style="dashed">
        <color auto="1"/>
      </left>
      <right style="dashed">
        <color auto="1"/>
      </right>
      <top style="dashed">
        <color auto="1"/>
      </top>
      <bottom style="dashed">
        <color auto="1"/>
      </bottom>
      <diagonal/>
    </border>
    <border>
      <left/>
      <right style="thin">
        <color auto="1"/>
      </right>
      <top/>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theme="0"/>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19">
    <xf numFmtId="0" fontId="0" fillId="0" borderId="0"/>
    <xf numFmtId="0" fontId="2" fillId="0" borderId="0" applyNumberFormat="0" applyFill="0" applyBorder="0" applyAlignment="0" applyProtection="0"/>
    <xf numFmtId="9" fontId="32" fillId="0" borderId="0" applyFont="0" applyFill="0" applyBorder="0" applyAlignment="0" applyProtection="0"/>
    <xf numFmtId="0" fontId="44" fillId="0" borderId="0"/>
    <xf numFmtId="0" fontId="44" fillId="3" borderId="0" applyNumberFormat="0" applyBorder="0" applyAlignment="0" applyProtection="0"/>
    <xf numFmtId="9" fontId="44" fillId="0" borderId="0" applyFont="0" applyFill="0" applyBorder="0" applyAlignment="0" applyProtection="0"/>
    <xf numFmtId="43" fontId="44" fillId="0" borderId="0" applyFont="0" applyFill="0" applyBorder="0" applyAlignment="0" applyProtection="0"/>
    <xf numFmtId="0" fontId="62" fillId="0" borderId="0"/>
    <xf numFmtId="186" fontId="44" fillId="0" borderId="0" applyFont="0" applyFill="0" applyBorder="0" applyAlignment="0" applyProtection="0"/>
    <xf numFmtId="0" fontId="65" fillId="0" borderId="0"/>
    <xf numFmtId="0" fontId="44" fillId="0" borderId="0"/>
    <xf numFmtId="166" fontId="65" fillId="0" borderId="0" applyFont="0" applyFill="0" applyBorder="0" applyAlignment="0" applyProtection="0"/>
    <xf numFmtId="0" fontId="44" fillId="0" borderId="0"/>
    <xf numFmtId="9" fontId="65" fillId="0" borderId="0" applyFont="0" applyFill="0" applyBorder="0" applyAlignment="0" applyProtection="0"/>
    <xf numFmtId="166" fontId="32" fillId="0" borderId="0" applyFont="0" applyFill="0" applyBorder="0" applyAlignment="0" applyProtection="0"/>
    <xf numFmtId="0" fontId="44" fillId="0" borderId="0"/>
    <xf numFmtId="0" fontId="44" fillId="3" borderId="0" applyNumberFormat="0" applyBorder="0" applyAlignment="0" applyProtection="0"/>
    <xf numFmtId="9" fontId="44" fillId="0" borderId="0" applyFont="0" applyFill="0" applyBorder="0" applyAlignment="0" applyProtection="0"/>
    <xf numFmtId="43" fontId="44" fillId="0" borderId="0" applyFont="0" applyFill="0" applyBorder="0" applyAlignment="0" applyProtection="0"/>
  </cellStyleXfs>
  <cellXfs count="586">
    <xf numFmtId="0" fontId="0" fillId="0" borderId="0" xfId="0"/>
    <xf numFmtId="0" fontId="7" fillId="0" borderId="0" xfId="0" applyFont="1"/>
    <xf numFmtId="0" fontId="11" fillId="0" borderId="0" xfId="0" applyFont="1"/>
    <xf numFmtId="0" fontId="12" fillId="0" borderId="1" xfId="0" applyFont="1" applyBorder="1"/>
    <xf numFmtId="0" fontId="13" fillId="0" borderId="1" xfId="0" applyFont="1" applyBorder="1"/>
    <xf numFmtId="0" fontId="13" fillId="0" borderId="0" xfId="0" applyFont="1"/>
    <xf numFmtId="0" fontId="12" fillId="0" borderId="0" xfId="0" applyFont="1"/>
    <xf numFmtId="0" fontId="14" fillId="0" borderId="0" xfId="0" applyFont="1"/>
    <xf numFmtId="0" fontId="14" fillId="0" borderId="2" xfId="0" applyFont="1" applyBorder="1"/>
    <xf numFmtId="0" fontId="15" fillId="0" borderId="0" xfId="0" applyFont="1"/>
    <xf numFmtId="0" fontId="0" fillId="0" borderId="2" xfId="0" applyBorder="1"/>
    <xf numFmtId="0" fontId="18" fillId="0" borderId="2" xfId="0" applyFont="1" applyBorder="1"/>
    <xf numFmtId="0" fontId="19" fillId="0" borderId="0" xfId="0" applyFont="1"/>
    <xf numFmtId="0" fontId="18" fillId="0" borderId="0" xfId="0" applyFont="1"/>
    <xf numFmtId="0" fontId="4" fillId="0" borderId="0" xfId="0" applyFont="1"/>
    <xf numFmtId="0" fontId="20" fillId="0" borderId="0" xfId="0" applyFont="1" applyAlignment="1">
      <alignment horizontal="left"/>
    </xf>
    <xf numFmtId="0" fontId="19" fillId="0" borderId="2" xfId="0" applyFont="1" applyBorder="1"/>
    <xf numFmtId="0" fontId="20" fillId="0" borderId="0" xfId="0" applyFont="1"/>
    <xf numFmtId="0" fontId="17" fillId="0" borderId="0" xfId="0" applyFont="1"/>
    <xf numFmtId="0" fontId="0" fillId="0" borderId="1" xfId="0" applyBorder="1"/>
    <xf numFmtId="0" fontId="18" fillId="0" borderId="1" xfId="0" applyFont="1" applyBorder="1"/>
    <xf numFmtId="4" fontId="17" fillId="0" borderId="0" xfId="0" applyNumberFormat="1" applyFont="1"/>
    <xf numFmtId="0" fontId="3" fillId="2" borderId="0" xfId="1" applyFont="1" applyFill="1" applyAlignment="1">
      <alignment horizontal="left"/>
    </xf>
    <xf numFmtId="0" fontId="4" fillId="2" borderId="0" xfId="0" applyFont="1" applyFill="1"/>
    <xf numFmtId="0" fontId="5" fillId="2" borderId="0" xfId="0" applyFont="1" applyFill="1"/>
    <xf numFmtId="0" fontId="1" fillId="0" borderId="0" xfId="0" applyFont="1"/>
    <xf numFmtId="4" fontId="14" fillId="0" borderId="2" xfId="0" applyNumberFormat="1" applyFont="1" applyBorder="1"/>
    <xf numFmtId="169" fontId="16" fillId="0" borderId="0" xfId="0" applyNumberFormat="1" applyFont="1"/>
    <xf numFmtId="169" fontId="0" fillId="0" borderId="0" xfId="0" applyNumberFormat="1"/>
    <xf numFmtId="169" fontId="17" fillId="0" borderId="2" xfId="0" applyNumberFormat="1" applyFont="1" applyBorder="1"/>
    <xf numFmtId="169" fontId="16" fillId="0" borderId="2" xfId="0" applyNumberFormat="1" applyFont="1" applyBorder="1"/>
    <xf numFmtId="169" fontId="22" fillId="0" borderId="0" xfId="0" applyNumberFormat="1" applyFont="1"/>
    <xf numFmtId="169" fontId="14" fillId="0" borderId="0" xfId="0" applyNumberFormat="1" applyFont="1"/>
    <xf numFmtId="0" fontId="1" fillId="0" borderId="1" xfId="0" applyFont="1" applyBorder="1"/>
    <xf numFmtId="0" fontId="23" fillId="2" borderId="0" xfId="0" applyFont="1" applyFill="1"/>
    <xf numFmtId="0" fontId="15" fillId="0" borderId="1" xfId="0" applyFont="1" applyBorder="1"/>
    <xf numFmtId="0" fontId="24" fillId="0" borderId="1" xfId="0" applyFont="1" applyBorder="1"/>
    <xf numFmtId="169" fontId="12" fillId="0" borderId="0" xfId="0" applyNumberFormat="1" applyFont="1"/>
    <xf numFmtId="0" fontId="14" fillId="0" borderId="1" xfId="0" applyFont="1" applyBorder="1"/>
    <xf numFmtId="169" fontId="14" fillId="0" borderId="1" xfId="0" applyNumberFormat="1" applyFont="1" applyBorder="1"/>
    <xf numFmtId="169" fontId="17" fillId="0" borderId="1" xfId="0" applyNumberFormat="1" applyFont="1" applyBorder="1"/>
    <xf numFmtId="0" fontId="25" fillId="0" borderId="1" xfId="0" applyFont="1" applyBorder="1"/>
    <xf numFmtId="0" fontId="26" fillId="0" borderId="1" xfId="0" applyFont="1" applyBorder="1"/>
    <xf numFmtId="0" fontId="27" fillId="0" borderId="0" xfId="0" applyFont="1"/>
    <xf numFmtId="0" fontId="21" fillId="0" borderId="0" xfId="0" applyFont="1"/>
    <xf numFmtId="0" fontId="27" fillId="0" borderId="2" xfId="0" applyFont="1" applyBorder="1"/>
    <xf numFmtId="0" fontId="15" fillId="0" borderId="2" xfId="0" applyFont="1" applyBorder="1"/>
    <xf numFmtId="0" fontId="11" fillId="0" borderId="2" xfId="0" applyFont="1" applyBorder="1"/>
    <xf numFmtId="0" fontId="1" fillId="0" borderId="2" xfId="0" applyFont="1" applyBorder="1"/>
    <xf numFmtId="169" fontId="1" fillId="0" borderId="0" xfId="0" applyNumberFormat="1" applyFont="1"/>
    <xf numFmtId="169" fontId="1" fillId="0" borderId="2" xfId="0" applyNumberFormat="1" applyFont="1" applyBorder="1"/>
    <xf numFmtId="169" fontId="4" fillId="0" borderId="2" xfId="0" applyNumberFormat="1" applyFont="1" applyBorder="1"/>
    <xf numFmtId="170" fontId="22" fillId="0" borderId="0" xfId="0" applyNumberFormat="1" applyFont="1"/>
    <xf numFmtId="170" fontId="17" fillId="0" borderId="2" xfId="0" applyNumberFormat="1" applyFont="1" applyBorder="1"/>
    <xf numFmtId="170" fontId="14" fillId="0" borderId="0" xfId="0" applyNumberFormat="1" applyFont="1"/>
    <xf numFmtId="170" fontId="1" fillId="0" borderId="0" xfId="0" applyNumberFormat="1" applyFont="1"/>
    <xf numFmtId="170" fontId="16" fillId="0" borderId="0" xfId="0" applyNumberFormat="1" applyFont="1"/>
    <xf numFmtId="170" fontId="0" fillId="0" borderId="0" xfId="0" applyNumberFormat="1"/>
    <xf numFmtId="170" fontId="16" fillId="0" borderId="2" xfId="0" applyNumberFormat="1" applyFont="1" applyBorder="1"/>
    <xf numFmtId="170" fontId="1" fillId="0" borderId="2" xfId="0" applyNumberFormat="1" applyFont="1" applyBorder="1"/>
    <xf numFmtId="170" fontId="12" fillId="0" borderId="2" xfId="0" applyNumberFormat="1" applyFont="1" applyBorder="1"/>
    <xf numFmtId="170" fontId="12" fillId="0" borderId="1" xfId="0" applyNumberFormat="1" applyFont="1" applyBorder="1"/>
    <xf numFmtId="170" fontId="16" fillId="0" borderId="0" xfId="0" applyNumberFormat="1" applyFont="1" applyAlignment="1">
      <alignment horizontal="right"/>
    </xf>
    <xf numFmtId="49" fontId="0" fillId="0" borderId="0" xfId="0" applyNumberFormat="1"/>
    <xf numFmtId="169" fontId="1" fillId="0" borderId="0" xfId="0" applyNumberFormat="1" applyFont="1" applyAlignment="1">
      <alignment horizontal="right"/>
    </xf>
    <xf numFmtId="169" fontId="1" fillId="0" borderId="2" xfId="0" applyNumberFormat="1" applyFont="1" applyBorder="1" applyAlignment="1">
      <alignment horizontal="right"/>
    </xf>
    <xf numFmtId="169" fontId="22" fillId="0" borderId="0" xfId="0" applyNumberFormat="1" applyFont="1" applyAlignment="1">
      <alignment horizontal="right"/>
    </xf>
    <xf numFmtId="169" fontId="28" fillId="0" borderId="0" xfId="0" applyNumberFormat="1" applyFont="1" applyAlignment="1">
      <alignment horizontal="right"/>
    </xf>
    <xf numFmtId="0" fontId="0" fillId="0" borderId="0" xfId="0" applyAlignment="1">
      <alignment horizontal="right"/>
    </xf>
    <xf numFmtId="0" fontId="22" fillId="0" borderId="0" xfId="0" applyFont="1"/>
    <xf numFmtId="169" fontId="29" fillId="0" borderId="0" xfId="0" applyNumberFormat="1" applyFont="1" applyAlignment="1">
      <alignment horizontal="right"/>
    </xf>
    <xf numFmtId="169" fontId="17" fillId="0" borderId="0" xfId="0" applyNumberFormat="1" applyFont="1" applyAlignment="1">
      <alignment horizontal="right"/>
    </xf>
    <xf numFmtId="169" fontId="16" fillId="0" borderId="0" xfId="0" applyNumberFormat="1" applyFont="1" applyAlignment="1">
      <alignment horizontal="right"/>
    </xf>
    <xf numFmtId="0" fontId="30" fillId="0" borderId="0" xfId="0" applyFont="1"/>
    <xf numFmtId="0" fontId="17" fillId="0" borderId="2" xfId="0" applyFont="1" applyBorder="1"/>
    <xf numFmtId="0" fontId="4" fillId="0" borderId="2" xfId="0" applyFont="1" applyBorder="1"/>
    <xf numFmtId="0" fontId="20" fillId="0" borderId="1" xfId="0" applyFont="1" applyBorder="1"/>
    <xf numFmtId="0" fontId="0" fillId="0" borderId="4" xfId="0" applyBorder="1"/>
    <xf numFmtId="0" fontId="27" fillId="0" borderId="4" xfId="0" applyFont="1" applyBorder="1"/>
    <xf numFmtId="0" fontId="14" fillId="0" borderId="4" xfId="0" applyFont="1" applyBorder="1"/>
    <xf numFmtId="0" fontId="21" fillId="0" borderId="1" xfId="0" applyFont="1" applyBorder="1"/>
    <xf numFmtId="170" fontId="29" fillId="0" borderId="0" xfId="0" applyNumberFormat="1" applyFont="1" applyAlignment="1">
      <alignment horizontal="right"/>
    </xf>
    <xf numFmtId="170" fontId="17" fillId="0" borderId="1" xfId="0" applyNumberFormat="1" applyFont="1" applyBorder="1"/>
    <xf numFmtId="0" fontId="28" fillId="0" borderId="0" xfId="0" applyFont="1" applyAlignment="1">
      <alignment horizontal="right"/>
    </xf>
    <xf numFmtId="4" fontId="1" fillId="0" borderId="1" xfId="0" applyNumberFormat="1" applyFont="1" applyBorder="1"/>
    <xf numFmtId="4" fontId="1" fillId="0" borderId="4" xfId="0" applyNumberFormat="1" applyFont="1" applyBorder="1"/>
    <xf numFmtId="0" fontId="22" fillId="0" borderId="0" xfId="0" applyFont="1" applyAlignment="1">
      <alignment horizontal="right"/>
    </xf>
    <xf numFmtId="169" fontId="22" fillId="0" borderId="1" xfId="0" applyNumberFormat="1" applyFont="1" applyBorder="1"/>
    <xf numFmtId="0" fontId="0" fillId="0" borderId="3" xfId="0" applyBorder="1"/>
    <xf numFmtId="169" fontId="31" fillId="0" borderId="0" xfId="0" applyNumberFormat="1" applyFont="1" applyAlignment="1">
      <alignment horizontal="right"/>
    </xf>
    <xf numFmtId="2" fontId="0" fillId="0" borderId="0" xfId="0" applyNumberFormat="1"/>
    <xf numFmtId="0" fontId="10" fillId="0" borderId="0" xfId="0" applyFont="1" applyAlignment="1">
      <alignment horizontal="right"/>
    </xf>
    <xf numFmtId="169" fontId="17" fillId="0" borderId="0" xfId="0" applyNumberFormat="1" applyFont="1"/>
    <xf numFmtId="169" fontId="0" fillId="0" borderId="2" xfId="0" applyNumberFormat="1" applyBorder="1"/>
    <xf numFmtId="170" fontId="17" fillId="0" borderId="0" xfId="0" applyNumberFormat="1" applyFont="1" applyAlignment="1">
      <alignment horizontal="right"/>
    </xf>
    <xf numFmtId="0" fontId="6" fillId="2" borderId="0" xfId="0" applyFont="1" applyFill="1" applyAlignment="1">
      <alignment horizontal="right"/>
    </xf>
    <xf numFmtId="2" fontId="13" fillId="0" borderId="2" xfId="0" applyNumberFormat="1" applyFont="1" applyBorder="1"/>
    <xf numFmtId="9" fontId="13" fillId="0" borderId="0" xfId="2" applyFont="1" applyBorder="1"/>
    <xf numFmtId="1" fontId="17" fillId="0" borderId="5" xfId="0" applyNumberFormat="1" applyFont="1" applyBorder="1"/>
    <xf numFmtId="4" fontId="22" fillId="0" borderId="0" xfId="0" applyNumberFormat="1" applyFont="1"/>
    <xf numFmtId="4" fontId="16" fillId="0" borderId="0" xfId="0" applyNumberFormat="1" applyFont="1"/>
    <xf numFmtId="0" fontId="17" fillId="0" borderId="0" xfId="0" applyFont="1" applyAlignment="1">
      <alignment horizontal="center"/>
    </xf>
    <xf numFmtId="4" fontId="17" fillId="0" borderId="5" xfId="0" applyNumberFormat="1" applyFont="1" applyBorder="1"/>
    <xf numFmtId="0" fontId="13" fillId="0" borderId="4" xfId="0" applyFont="1" applyBorder="1"/>
    <xf numFmtId="0" fontId="4" fillId="0" borderId="4" xfId="0" applyFont="1" applyBorder="1"/>
    <xf numFmtId="171" fontId="16" fillId="0" borderId="4" xfId="0" applyNumberFormat="1" applyFont="1" applyBorder="1"/>
    <xf numFmtId="9" fontId="13" fillId="0" borderId="4" xfId="2" applyFont="1" applyBorder="1"/>
    <xf numFmtId="2" fontId="13" fillId="0" borderId="4" xfId="0" applyNumberFormat="1" applyFont="1" applyBorder="1"/>
    <xf numFmtId="0" fontId="0" fillId="0" borderId="6" xfId="0" applyBorder="1"/>
    <xf numFmtId="10" fontId="13" fillId="0" borderId="2" xfId="2" applyNumberFormat="1" applyFont="1" applyBorder="1"/>
    <xf numFmtId="10" fontId="13" fillId="0" borderId="1" xfId="2" applyNumberFormat="1" applyFont="1" applyBorder="1"/>
    <xf numFmtId="0" fontId="12" fillId="0" borderId="0" xfId="0" applyFont="1" applyAlignment="1">
      <alignment horizontal="right"/>
    </xf>
    <xf numFmtId="1" fontId="17" fillId="0" borderId="7" xfId="0" applyNumberFormat="1" applyFont="1" applyBorder="1"/>
    <xf numFmtId="2" fontId="13" fillId="0" borderId="0" xfId="0" applyNumberFormat="1" applyFont="1"/>
    <xf numFmtId="2" fontId="13" fillId="0" borderId="1" xfId="0" applyNumberFormat="1" applyFont="1" applyBorder="1"/>
    <xf numFmtId="10" fontId="0" fillId="0" borderId="0" xfId="0" applyNumberFormat="1"/>
    <xf numFmtId="171" fontId="16" fillId="0" borderId="0" xfId="0" applyNumberFormat="1" applyFont="1"/>
    <xf numFmtId="0" fontId="1" fillId="0" borderId="4" xfId="0" applyFont="1" applyBorder="1"/>
    <xf numFmtId="17" fontId="1" fillId="0" borderId="4" xfId="0" applyNumberFormat="1" applyFont="1" applyBorder="1"/>
    <xf numFmtId="4" fontId="0" fillId="0" borderId="0" xfId="0" applyNumberFormat="1"/>
    <xf numFmtId="172" fontId="1" fillId="0" borderId="4" xfId="0" applyNumberFormat="1" applyFont="1" applyBorder="1" applyAlignment="1">
      <alignment horizontal="center"/>
    </xf>
    <xf numFmtId="0" fontId="36" fillId="0" borderId="0" xfId="0" applyFont="1"/>
    <xf numFmtId="173" fontId="37" fillId="0" borderId="0" xfId="0" applyNumberFormat="1" applyFont="1" applyAlignment="1">
      <alignment horizontal="right"/>
    </xf>
    <xf numFmtId="0" fontId="38" fillId="0" borderId="0" xfId="0" applyFont="1"/>
    <xf numFmtId="176" fontId="7" fillId="0" borderId="0" xfId="0" applyNumberFormat="1" applyFont="1"/>
    <xf numFmtId="0" fontId="17" fillId="0" borderId="1" xfId="0" applyFont="1" applyBorder="1"/>
    <xf numFmtId="176" fontId="4" fillId="0" borderId="1" xfId="0" applyNumberFormat="1" applyFont="1" applyBorder="1"/>
    <xf numFmtId="0" fontId="4" fillId="0" borderId="1" xfId="0" applyFont="1" applyBorder="1"/>
    <xf numFmtId="177" fontId="4" fillId="0" borderId="0" xfId="0" applyNumberFormat="1" applyFont="1"/>
    <xf numFmtId="3" fontId="4" fillId="0" borderId="0" xfId="0" applyNumberFormat="1" applyFont="1"/>
    <xf numFmtId="178" fontId="4" fillId="0" borderId="0" xfId="0" applyNumberFormat="1" applyFont="1"/>
    <xf numFmtId="0" fontId="4" fillId="0" borderId="0" xfId="0" applyFont="1" applyAlignment="1">
      <alignment horizontal="right"/>
    </xf>
    <xf numFmtId="0" fontId="41" fillId="0" borderId="0" xfId="0" applyFont="1"/>
    <xf numFmtId="0" fontId="42" fillId="0" borderId="0" xfId="0" applyFont="1"/>
    <xf numFmtId="171" fontId="43" fillId="0" borderId="0" xfId="0" applyNumberFormat="1" applyFont="1"/>
    <xf numFmtId="171" fontId="4" fillId="0" borderId="0" xfId="0" applyNumberFormat="1" applyFont="1"/>
    <xf numFmtId="0" fontId="41" fillId="0" borderId="2" xfId="0" applyFont="1" applyBorder="1"/>
    <xf numFmtId="9" fontId="4" fillId="0" borderId="0" xfId="0" applyNumberFormat="1" applyFont="1"/>
    <xf numFmtId="0" fontId="42" fillId="0" borderId="1" xfId="0" applyFont="1" applyBorder="1"/>
    <xf numFmtId="0" fontId="17" fillId="0" borderId="5" xfId="0" applyFont="1" applyBorder="1"/>
    <xf numFmtId="0" fontId="4" fillId="0" borderId="5" xfId="0" applyFont="1" applyBorder="1"/>
    <xf numFmtId="0" fontId="41" fillId="0" borderId="5" xfId="0" applyFont="1" applyBorder="1"/>
    <xf numFmtId="3" fontId="17" fillId="0" borderId="0" xfId="0" applyNumberFormat="1" applyFont="1"/>
    <xf numFmtId="0" fontId="40" fillId="0" borderId="0" xfId="0" applyFont="1"/>
    <xf numFmtId="179" fontId="40" fillId="0" borderId="0" xfId="0" applyNumberFormat="1" applyFont="1"/>
    <xf numFmtId="0" fontId="4" fillId="0" borderId="0" xfId="3" applyFont="1"/>
    <xf numFmtId="171" fontId="12" fillId="0" borderId="0" xfId="0" applyNumberFormat="1" applyFont="1"/>
    <xf numFmtId="180" fontId="45" fillId="0" borderId="0" xfId="0" applyNumberFormat="1" applyFont="1"/>
    <xf numFmtId="0" fontId="42" fillId="0" borderId="2" xfId="0" applyFont="1" applyBorder="1"/>
    <xf numFmtId="0" fontId="39" fillId="0" borderId="0" xfId="0" applyFont="1"/>
    <xf numFmtId="14" fontId="16" fillId="0" borderId="0" xfId="0" applyNumberFormat="1" applyFont="1"/>
    <xf numFmtId="14" fontId="4" fillId="0" borderId="0" xfId="0" applyNumberFormat="1" applyFont="1"/>
    <xf numFmtId="177" fontId="16" fillId="0" borderId="0" xfId="0" applyNumberFormat="1" applyFont="1"/>
    <xf numFmtId="181" fontId="43" fillId="0" borderId="0" xfId="0" applyNumberFormat="1" applyFont="1"/>
    <xf numFmtId="182" fontId="43" fillId="0" borderId="0" xfId="0" applyNumberFormat="1" applyFont="1"/>
    <xf numFmtId="3" fontId="16" fillId="0" borderId="0" xfId="0" applyNumberFormat="1" applyFont="1"/>
    <xf numFmtId="0" fontId="17" fillId="0" borderId="1" xfId="0" applyFont="1" applyBorder="1" applyAlignment="1">
      <alignment horizontal="right"/>
    </xf>
    <xf numFmtId="14" fontId="40" fillId="0" borderId="0" xfId="0" applyNumberFormat="1" applyFont="1"/>
    <xf numFmtId="4" fontId="40" fillId="0" borderId="0" xfId="0" applyNumberFormat="1" applyFont="1"/>
    <xf numFmtId="177" fontId="4" fillId="0" borderId="2" xfId="0" applyNumberFormat="1" applyFont="1" applyBorder="1"/>
    <xf numFmtId="0" fontId="0" fillId="2" borderId="0" xfId="0" applyFill="1"/>
    <xf numFmtId="0" fontId="34" fillId="2" borderId="0" xfId="0" applyFont="1" applyFill="1"/>
    <xf numFmtId="0" fontId="35" fillId="2" borderId="0" xfId="0" applyFont="1" applyFill="1" applyAlignment="1">
      <alignment horizontal="centerContinuous"/>
    </xf>
    <xf numFmtId="0" fontId="4" fillId="2" borderId="0" xfId="0" applyFont="1" applyFill="1" applyAlignment="1">
      <alignment horizontal="centerContinuous"/>
    </xf>
    <xf numFmtId="173" fontId="35" fillId="2" borderId="0" xfId="0" applyNumberFormat="1" applyFont="1" applyFill="1"/>
    <xf numFmtId="0" fontId="35" fillId="8" borderId="8" xfId="0" applyFont="1" applyFill="1" applyBorder="1" applyAlignment="1">
      <alignment horizontal="centerContinuous"/>
    </xf>
    <xf numFmtId="0" fontId="4" fillId="8" borderId="0" xfId="0" applyFont="1" applyFill="1" applyAlignment="1">
      <alignment horizontal="centerContinuous"/>
    </xf>
    <xf numFmtId="174" fontId="35" fillId="8" borderId="8" xfId="0" applyNumberFormat="1" applyFont="1" applyFill="1" applyBorder="1"/>
    <xf numFmtId="175" fontId="35" fillId="8" borderId="0" xfId="0" applyNumberFormat="1" applyFont="1" applyFill="1"/>
    <xf numFmtId="0" fontId="39" fillId="6" borderId="0" xfId="0" applyFont="1" applyFill="1"/>
    <xf numFmtId="0" fontId="4" fillId="6" borderId="0" xfId="0" applyFont="1" applyFill="1"/>
    <xf numFmtId="3" fontId="4" fillId="0" borderId="1" xfId="0" applyNumberFormat="1" applyFont="1" applyBorder="1"/>
    <xf numFmtId="0" fontId="48" fillId="0" borderId="0" xfId="0" applyFont="1"/>
    <xf numFmtId="3" fontId="48" fillId="0" borderId="0" xfId="0" applyNumberFormat="1" applyFont="1"/>
    <xf numFmtId="4" fontId="35" fillId="5" borderId="0" xfId="0" applyNumberFormat="1" applyFont="1" applyFill="1"/>
    <xf numFmtId="0" fontId="49" fillId="0" borderId="0" xfId="0" applyFont="1" applyAlignment="1">
      <alignment horizontal="right"/>
    </xf>
    <xf numFmtId="0" fontId="7" fillId="0" borderId="1" xfId="0" applyFont="1" applyBorder="1"/>
    <xf numFmtId="177" fontId="38" fillId="0" borderId="0" xfId="0" applyNumberFormat="1" applyFont="1"/>
    <xf numFmtId="0" fontId="4" fillId="0" borderId="0" xfId="0" applyFont="1" applyAlignment="1">
      <alignment horizontal="center"/>
    </xf>
    <xf numFmtId="0" fontId="4" fillId="0" borderId="0" xfId="0" applyFont="1" applyAlignment="1">
      <alignment horizontal="left"/>
    </xf>
    <xf numFmtId="0" fontId="54" fillId="0" borderId="0" xfId="0" applyFont="1" applyAlignment="1">
      <alignment horizontal="left"/>
    </xf>
    <xf numFmtId="164" fontId="50" fillId="0" borderId="0" xfId="3" applyNumberFormat="1" applyFont="1" applyAlignment="1">
      <alignment vertical="center"/>
    </xf>
    <xf numFmtId="0" fontId="57" fillId="0" borderId="0" xfId="0" applyFont="1" applyAlignment="1">
      <alignment horizontal="left"/>
    </xf>
    <xf numFmtId="0" fontId="47" fillId="0" borderId="0" xfId="0" applyFont="1"/>
    <xf numFmtId="183" fontId="55" fillId="0" borderId="0" xfId="0" applyNumberFormat="1" applyFont="1"/>
    <xf numFmtId="0" fontId="38" fillId="10" borderId="0" xfId="0" applyFont="1" applyFill="1"/>
    <xf numFmtId="0" fontId="54" fillId="10" borderId="0" xfId="0" applyFont="1" applyFill="1" applyAlignment="1">
      <alignment horizontal="left" vertical="center" wrapText="1"/>
    </xf>
    <xf numFmtId="164" fontId="50" fillId="10" borderId="0" xfId="3" applyNumberFormat="1" applyFont="1" applyFill="1" applyAlignment="1">
      <alignment vertical="center"/>
    </xf>
    <xf numFmtId="183" fontId="54" fillId="10" borderId="0" xfId="3" applyNumberFormat="1" applyFont="1" applyFill="1" applyAlignment="1">
      <alignment vertical="center"/>
    </xf>
    <xf numFmtId="0" fontId="54" fillId="0" borderId="0" xfId="0" applyFont="1" applyAlignment="1">
      <alignment horizontal="left" vertical="center" wrapText="1"/>
    </xf>
    <xf numFmtId="0" fontId="47" fillId="0" borderId="0" xfId="0" applyFont="1" applyAlignment="1">
      <alignment horizontal="left"/>
    </xf>
    <xf numFmtId="177" fontId="50" fillId="0" borderId="0" xfId="3" applyNumberFormat="1" applyFont="1" applyAlignment="1">
      <alignment vertical="center"/>
    </xf>
    <xf numFmtId="0" fontId="56" fillId="10" borderId="0" xfId="0" applyFont="1" applyFill="1" applyAlignment="1">
      <alignment horizontal="left" vertical="center" wrapText="1"/>
    </xf>
    <xf numFmtId="177" fontId="50" fillId="10" borderId="0" xfId="3" applyNumberFormat="1" applyFont="1" applyFill="1" applyAlignment="1">
      <alignment vertical="center"/>
    </xf>
    <xf numFmtId="0" fontId="38" fillId="0" borderId="0" xfId="3" applyFont="1"/>
    <xf numFmtId="16" fontId="38" fillId="0" borderId="0" xfId="3" applyNumberFormat="1" applyFont="1"/>
    <xf numFmtId="37" fontId="63" fillId="0" borderId="0" xfId="7" applyNumberFormat="1" applyFont="1" applyAlignment="1">
      <alignment horizontal="left"/>
    </xf>
    <xf numFmtId="0" fontId="38" fillId="0" borderId="0" xfId="3" applyFont="1" applyAlignment="1">
      <alignment horizontal="center"/>
    </xf>
    <xf numFmtId="164" fontId="63" fillId="0" borderId="0" xfId="3" applyNumberFormat="1" applyFont="1" applyAlignment="1">
      <alignment vertical="center"/>
    </xf>
    <xf numFmtId="184" fontId="63" fillId="0" borderId="0" xfId="3" applyNumberFormat="1" applyFont="1" applyAlignment="1">
      <alignment vertical="center"/>
    </xf>
    <xf numFmtId="164" fontId="38" fillId="0" borderId="0" xfId="3" applyNumberFormat="1" applyFont="1" applyAlignment="1">
      <alignment vertical="center"/>
    </xf>
    <xf numFmtId="165" fontId="63" fillId="0" borderId="0" xfId="3" applyNumberFormat="1" applyFont="1" applyAlignment="1">
      <alignment vertical="center"/>
    </xf>
    <xf numFmtId="164" fontId="64" fillId="0" borderId="0" xfId="3" applyNumberFormat="1" applyFont="1" applyAlignment="1">
      <alignment vertical="center"/>
    </xf>
    <xf numFmtId="167" fontId="64" fillId="0" borderId="0" xfId="3" applyNumberFormat="1" applyFont="1" applyAlignment="1">
      <alignment vertical="center"/>
    </xf>
    <xf numFmtId="0" fontId="38" fillId="0" borderId="0" xfId="3" applyFont="1" applyAlignment="1">
      <alignment vertical="center"/>
    </xf>
    <xf numFmtId="185" fontId="38" fillId="0" borderId="0" xfId="3" applyNumberFormat="1" applyFont="1" applyAlignment="1">
      <alignment vertical="center"/>
    </xf>
    <xf numFmtId="37" fontId="64" fillId="0" borderId="0" xfId="7" applyNumberFormat="1" applyFont="1" applyAlignment="1">
      <alignment horizontal="left"/>
    </xf>
    <xf numFmtId="37" fontId="50" fillId="0" borderId="0" xfId="3" applyNumberFormat="1" applyFont="1" applyAlignment="1">
      <alignment vertical="center"/>
    </xf>
    <xf numFmtId="167" fontId="38" fillId="0" borderId="0" xfId="3" applyNumberFormat="1" applyFont="1" applyAlignment="1">
      <alignment vertical="center"/>
    </xf>
    <xf numFmtId="168" fontId="64" fillId="0" borderId="0" xfId="3" applyNumberFormat="1" applyFont="1"/>
    <xf numFmtId="185" fontId="63" fillId="0" borderId="0" xfId="3" applyNumberFormat="1" applyFont="1" applyAlignment="1">
      <alignment horizontal="right"/>
    </xf>
    <xf numFmtId="187" fontId="38" fillId="0" borderId="0" xfId="8" applyNumberFormat="1" applyFont="1" applyFill="1" applyAlignment="1" applyProtection="1">
      <alignment horizontal="center"/>
      <protection locked="0"/>
    </xf>
    <xf numFmtId="188" fontId="38" fillId="0" borderId="0" xfId="3" applyNumberFormat="1" applyFont="1"/>
    <xf numFmtId="186" fontId="38" fillId="0" borderId="0" xfId="3" applyNumberFormat="1" applyFont="1"/>
    <xf numFmtId="0" fontId="63" fillId="0" borderId="0" xfId="0" applyFont="1" applyAlignment="1">
      <alignment horizontal="left"/>
    </xf>
    <xf numFmtId="0" fontId="63" fillId="0" borderId="0" xfId="0" applyFont="1"/>
    <xf numFmtId="0" fontId="38" fillId="0" borderId="0" xfId="0" applyFont="1" applyAlignment="1">
      <alignment horizontal="left" vertical="center" wrapText="1"/>
    </xf>
    <xf numFmtId="0" fontId="58" fillId="2" borderId="0" xfId="3" applyFont="1" applyFill="1" applyAlignment="1">
      <alignment vertical="center"/>
    </xf>
    <xf numFmtId="0" fontId="59" fillId="2" borderId="0" xfId="3" applyFont="1" applyFill="1" applyAlignment="1">
      <alignment horizontal="right" vertical="center"/>
    </xf>
    <xf numFmtId="0" fontId="5" fillId="2" borderId="14" xfId="3" applyFont="1" applyFill="1" applyBorder="1" applyAlignment="1">
      <alignment horizontal="centerContinuous" vertical="center"/>
    </xf>
    <xf numFmtId="0" fontId="58" fillId="2" borderId="14" xfId="3" applyFont="1" applyFill="1" applyBorder="1" applyAlignment="1">
      <alignment horizontal="centerContinuous" vertical="center"/>
    </xf>
    <xf numFmtId="0" fontId="5" fillId="2" borderId="0" xfId="3" applyFont="1" applyFill="1" applyAlignment="1">
      <alignment vertical="center"/>
    </xf>
    <xf numFmtId="0" fontId="5" fillId="2" borderId="0" xfId="3" applyFont="1" applyFill="1" applyAlignment="1">
      <alignment horizontal="right" vertical="center"/>
    </xf>
    <xf numFmtId="0" fontId="5" fillId="2" borderId="0" xfId="3" applyFont="1" applyFill="1" applyAlignment="1">
      <alignment horizontal="center" vertical="center"/>
    </xf>
    <xf numFmtId="0" fontId="58" fillId="2" borderId="0" xfId="3" applyFont="1" applyFill="1" applyAlignment="1">
      <alignment horizontal="right" vertical="center"/>
    </xf>
    <xf numFmtId="0" fontId="59" fillId="2" borderId="0" xfId="3" quotePrefix="1" applyFont="1" applyFill="1" applyAlignment="1">
      <alignment horizontal="right" vertical="center"/>
    </xf>
    <xf numFmtId="0" fontId="60" fillId="2" borderId="0" xfId="3" applyFont="1" applyFill="1" applyAlignment="1">
      <alignment horizontal="right" vertical="center"/>
    </xf>
    <xf numFmtId="0" fontId="38" fillId="9" borderId="0" xfId="3" applyFont="1" applyFill="1"/>
    <xf numFmtId="185" fontId="58" fillId="2" borderId="0" xfId="3" applyNumberFormat="1" applyFont="1" applyFill="1" applyAlignment="1">
      <alignment vertical="center"/>
    </xf>
    <xf numFmtId="0" fontId="5" fillId="2" borderId="0" xfId="3" applyFont="1" applyFill="1"/>
    <xf numFmtId="0" fontId="5" fillId="2" borderId="0" xfId="3" applyFont="1" applyFill="1" applyAlignment="1">
      <alignment horizontal="right"/>
    </xf>
    <xf numFmtId="0" fontId="5" fillId="2" borderId="0" xfId="3" applyFont="1" applyFill="1" applyAlignment="1">
      <alignment horizontal="center"/>
    </xf>
    <xf numFmtId="0" fontId="4" fillId="0" borderId="0" xfId="9" applyFont="1"/>
    <xf numFmtId="0" fontId="17" fillId="0" borderId="0" xfId="9" applyFont="1"/>
    <xf numFmtId="14" fontId="16" fillId="0" borderId="0" xfId="9" applyNumberFormat="1" applyFont="1"/>
    <xf numFmtId="166" fontId="16" fillId="0" borderId="0" xfId="11" applyFont="1"/>
    <xf numFmtId="177" fontId="4" fillId="0" borderId="0" xfId="9" applyNumberFormat="1" applyFont="1"/>
    <xf numFmtId="0" fontId="34" fillId="2" borderId="0" xfId="9" applyFont="1" applyFill="1"/>
    <xf numFmtId="0" fontId="66" fillId="2" borderId="0" xfId="9" applyFont="1" applyFill="1"/>
    <xf numFmtId="0" fontId="67" fillId="2" borderId="0" xfId="9" applyFont="1" applyFill="1" applyAlignment="1">
      <alignment horizontal="left" vertical="center" readingOrder="1"/>
    </xf>
    <xf numFmtId="0" fontId="35" fillId="2" borderId="0" xfId="10" applyFont="1" applyFill="1" applyAlignment="1">
      <alignment horizontal="center" vertical="center"/>
    </xf>
    <xf numFmtId="0" fontId="33" fillId="2" borderId="0" xfId="0" applyFont="1" applyFill="1"/>
    <xf numFmtId="0" fontId="38" fillId="0" borderId="0" xfId="9" applyFont="1"/>
    <xf numFmtId="0" fontId="64" fillId="0" borderId="0" xfId="7" applyFont="1"/>
    <xf numFmtId="0" fontId="46" fillId="0" borderId="0" xfId="7" applyFont="1" applyAlignment="1">
      <alignment horizontal="center"/>
    </xf>
    <xf numFmtId="0" fontId="46" fillId="0" borderId="0" xfId="7" applyFont="1" applyAlignment="1">
      <alignment horizontal="right"/>
    </xf>
    <xf numFmtId="0" fontId="46" fillId="0" borderId="1" xfId="7" applyFont="1" applyBorder="1" applyAlignment="1">
      <alignment horizontal="center"/>
    </xf>
    <xf numFmtId="0" fontId="46" fillId="0" borderId="1" xfId="7" applyFont="1" applyBorder="1"/>
    <xf numFmtId="0" fontId="38" fillId="0" borderId="1" xfId="9" applyFont="1" applyBorder="1"/>
    <xf numFmtId="0" fontId="46" fillId="0" borderId="1" xfId="7" applyFont="1" applyBorder="1" applyAlignment="1">
      <alignment horizontal="right"/>
    </xf>
    <xf numFmtId="164" fontId="43" fillId="0" borderId="0" xfId="12" applyNumberFormat="1" applyFont="1" applyAlignment="1">
      <alignment vertical="center"/>
    </xf>
    <xf numFmtId="165" fontId="43" fillId="0" borderId="0" xfId="12" applyNumberFormat="1" applyFont="1" applyAlignment="1">
      <alignment vertical="center"/>
    </xf>
    <xf numFmtId="177" fontId="64" fillId="0" borderId="0" xfId="13" applyNumberFormat="1" applyFont="1" applyBorder="1" applyAlignment="1">
      <alignment horizontal="right"/>
    </xf>
    <xf numFmtId="177" fontId="63" fillId="0" borderId="0" xfId="13" applyNumberFormat="1" applyFont="1" applyBorder="1" applyAlignment="1">
      <alignment horizontal="right"/>
    </xf>
    <xf numFmtId="2" fontId="50" fillId="0" borderId="0" xfId="7" applyNumberFormat="1" applyFont="1" applyAlignment="1">
      <alignment horizontal="right"/>
    </xf>
    <xf numFmtId="2" fontId="64" fillId="0" borderId="0" xfId="7" applyNumberFormat="1" applyFont="1" applyAlignment="1">
      <alignment horizontal="right"/>
    </xf>
    <xf numFmtId="0" fontId="46" fillId="11" borderId="0" xfId="7" applyFont="1" applyFill="1"/>
    <xf numFmtId="0" fontId="38" fillId="11" borderId="0" xfId="9" applyFont="1" applyFill="1"/>
    <xf numFmtId="0" fontId="50" fillId="11" borderId="0" xfId="9" applyFont="1" applyFill="1"/>
    <xf numFmtId="0" fontId="70" fillId="11" borderId="0" xfId="7" applyFont="1" applyFill="1" applyAlignment="1">
      <alignment horizontal="right"/>
    </xf>
    <xf numFmtId="177" fontId="46" fillId="11" borderId="0" xfId="7" applyNumberFormat="1" applyFont="1" applyFill="1" applyAlignment="1">
      <alignment horizontal="right"/>
    </xf>
    <xf numFmtId="0" fontId="46" fillId="11" borderId="0" xfId="7" applyFont="1" applyFill="1" applyAlignment="1">
      <alignment horizontal="right"/>
    </xf>
    <xf numFmtId="0" fontId="50" fillId="0" borderId="0" xfId="9" applyFont="1"/>
    <xf numFmtId="37" fontId="46" fillId="11" borderId="0" xfId="7" applyNumberFormat="1" applyFont="1" applyFill="1" applyAlignment="1">
      <alignment horizontal="left"/>
    </xf>
    <xf numFmtId="0" fontId="7" fillId="11" borderId="0" xfId="9" applyFont="1" applyFill="1"/>
    <xf numFmtId="164" fontId="12" fillId="11" borderId="0" xfId="12" applyNumberFormat="1" applyFont="1" applyFill="1" applyAlignment="1">
      <alignment vertical="center"/>
    </xf>
    <xf numFmtId="177" fontId="46" fillId="11" borderId="0" xfId="13" applyNumberFormat="1" applyFont="1" applyFill="1" applyBorder="1" applyAlignment="1">
      <alignment horizontal="right"/>
    </xf>
    <xf numFmtId="177" fontId="9" fillId="11" borderId="0" xfId="13" applyNumberFormat="1" applyFont="1" applyFill="1" applyBorder="1" applyAlignment="1">
      <alignment horizontal="right"/>
    </xf>
    <xf numFmtId="2" fontId="46" fillId="11" borderId="0" xfId="7" applyNumberFormat="1" applyFont="1" applyFill="1" applyAlignment="1">
      <alignment horizontal="right"/>
    </xf>
    <xf numFmtId="188" fontId="38" fillId="0" borderId="0" xfId="9" applyNumberFormat="1" applyFont="1"/>
    <xf numFmtId="190" fontId="38" fillId="0" borderId="0" xfId="9" applyNumberFormat="1" applyFont="1"/>
    <xf numFmtId="0" fontId="46" fillId="4" borderId="0" xfId="7" applyFont="1" applyFill="1" applyAlignment="1">
      <alignment horizontal="left"/>
    </xf>
    <xf numFmtId="0" fontId="38" fillId="4" borderId="0" xfId="9" applyFont="1" applyFill="1"/>
    <xf numFmtId="0" fontId="7" fillId="4" borderId="0" xfId="9" applyFont="1" applyFill="1" applyAlignment="1">
      <alignment horizontal="right"/>
    </xf>
    <xf numFmtId="0" fontId="7" fillId="0" borderId="1" xfId="9" applyFont="1" applyBorder="1" applyAlignment="1">
      <alignment horizontal="right"/>
    </xf>
    <xf numFmtId="177" fontId="64" fillId="0" borderId="0" xfId="7" applyNumberFormat="1" applyFont="1" applyAlignment="1">
      <alignment horizontal="right"/>
    </xf>
    <xf numFmtId="177" fontId="38" fillId="0" borderId="0" xfId="7" applyNumberFormat="1" applyFont="1" applyAlignment="1">
      <alignment horizontal="right"/>
    </xf>
    <xf numFmtId="0" fontId="7" fillId="4" borderId="0" xfId="9" applyFont="1" applyFill="1"/>
    <xf numFmtId="164" fontId="64" fillId="0" borderId="0" xfId="11" applyNumberFormat="1" applyFont="1"/>
    <xf numFmtId="164" fontId="64" fillId="0" borderId="0" xfId="11" applyNumberFormat="1" applyFont="1" applyFill="1"/>
    <xf numFmtId="177" fontId="38" fillId="0" borderId="0" xfId="13" applyNumberFormat="1" applyFont="1" applyBorder="1"/>
    <xf numFmtId="177" fontId="71" fillId="0" borderId="0" xfId="7" applyNumberFormat="1" applyFont="1" applyAlignment="1">
      <alignment horizontal="right"/>
    </xf>
    <xf numFmtId="177" fontId="71" fillId="0" borderId="1" xfId="7" applyNumberFormat="1" applyFont="1" applyBorder="1" applyAlignment="1">
      <alignment horizontal="right"/>
    </xf>
    <xf numFmtId="0" fontId="7" fillId="0" borderId="0" xfId="9" applyFont="1"/>
    <xf numFmtId="177" fontId="7" fillId="0" borderId="0" xfId="13" applyNumberFormat="1" applyFont="1"/>
    <xf numFmtId="177" fontId="50" fillId="0" borderId="0" xfId="7" applyNumberFormat="1" applyFont="1" applyAlignment="1">
      <alignment horizontal="right"/>
    </xf>
    <xf numFmtId="2" fontId="64" fillId="0" borderId="0" xfId="7" applyNumberFormat="1" applyFont="1"/>
    <xf numFmtId="177" fontId="7" fillId="0" borderId="2" xfId="7" applyNumberFormat="1" applyFont="1" applyBorder="1" applyAlignment="1">
      <alignment horizontal="right"/>
    </xf>
    <xf numFmtId="0" fontId="7" fillId="0" borderId="15" xfId="9" applyFont="1" applyBorder="1"/>
    <xf numFmtId="10" fontId="7" fillId="0" borderId="15" xfId="7" applyNumberFormat="1" applyFont="1" applyBorder="1" applyAlignment="1">
      <alignment horizontal="right"/>
    </xf>
    <xf numFmtId="0" fontId="4" fillId="2" borderId="0" xfId="0" applyFont="1" applyFill="1" applyAlignment="1">
      <alignment horizontal="center"/>
    </xf>
    <xf numFmtId="0" fontId="4" fillId="2" borderId="0" xfId="0" applyFont="1" applyFill="1" applyAlignment="1">
      <alignment horizontal="left"/>
    </xf>
    <xf numFmtId="0" fontId="35" fillId="2" borderId="0" xfId="0" applyFont="1" applyFill="1"/>
    <xf numFmtId="0" fontId="53" fillId="2" borderId="0" xfId="0" applyFont="1" applyFill="1"/>
    <xf numFmtId="0" fontId="35" fillId="2" borderId="0" xfId="0" applyFont="1" applyFill="1" applyAlignment="1">
      <alignment horizontal="left"/>
    </xf>
    <xf numFmtId="0" fontId="35" fillId="2" borderId="0" xfId="0" applyFont="1" applyFill="1" applyAlignment="1">
      <alignment horizontal="right"/>
    </xf>
    <xf numFmtId="0" fontId="35" fillId="2" borderId="0" xfId="0" applyFont="1" applyFill="1" applyAlignment="1">
      <alignment horizontal="center"/>
    </xf>
    <xf numFmtId="166" fontId="4" fillId="0" borderId="0" xfId="0" applyNumberFormat="1" applyFont="1"/>
    <xf numFmtId="4" fontId="7" fillId="11" borderId="10" xfId="0" applyNumberFormat="1" applyFont="1" applyFill="1" applyBorder="1"/>
    <xf numFmtId="0" fontId="4" fillId="2" borderId="0" xfId="9" applyFont="1" applyFill="1"/>
    <xf numFmtId="37" fontId="34" fillId="2" borderId="0" xfId="9" applyNumberFormat="1" applyFont="1" applyFill="1" applyAlignment="1">
      <alignment vertical="top"/>
    </xf>
    <xf numFmtId="37" fontId="58" fillId="2" borderId="0" xfId="9" applyNumberFormat="1" applyFont="1" applyFill="1" applyAlignment="1">
      <alignment vertical="top"/>
    </xf>
    <xf numFmtId="0" fontId="68" fillId="2" borderId="0" xfId="9" applyFont="1" applyFill="1" applyAlignment="1">
      <alignment horizontal="left" vertical="center" readingOrder="1"/>
    </xf>
    <xf numFmtId="37" fontId="69" fillId="2" borderId="0" xfId="9" applyNumberFormat="1" applyFont="1" applyFill="1" applyAlignment="1">
      <alignment vertical="top"/>
    </xf>
    <xf numFmtId="37" fontId="59" fillId="2" borderId="0" xfId="9" applyNumberFormat="1" applyFont="1" applyFill="1" applyAlignment="1">
      <alignment vertical="top"/>
    </xf>
    <xf numFmtId="0" fontId="5" fillId="2" borderId="0" xfId="9" applyFont="1" applyFill="1"/>
    <xf numFmtId="0" fontId="4" fillId="0" borderId="0" xfId="3" applyFont="1" applyAlignment="1">
      <alignment horizontal="center"/>
    </xf>
    <xf numFmtId="0" fontId="17" fillId="0" borderId="17" xfId="3" applyFont="1" applyBorder="1" applyAlignment="1">
      <alignment horizontal="center"/>
    </xf>
    <xf numFmtId="0" fontId="17" fillId="0" borderId="9" xfId="3" applyFont="1" applyBorder="1" applyAlignment="1">
      <alignment horizontal="center"/>
    </xf>
    <xf numFmtId="0" fontId="17" fillId="0" borderId="18" xfId="3" applyFont="1" applyBorder="1" applyAlignment="1">
      <alignment horizontal="center"/>
    </xf>
    <xf numFmtId="0" fontId="4" fillId="0" borderId="19" xfId="3" applyFont="1" applyBorder="1"/>
    <xf numFmtId="191" fontId="4" fillId="0" borderId="11" xfId="6" applyNumberFormat="1" applyFont="1" applyBorder="1"/>
    <xf numFmtId="0" fontId="4" fillId="0" borderId="20" xfId="3" applyFont="1" applyBorder="1"/>
    <xf numFmtId="0" fontId="4" fillId="0" borderId="1" xfId="3" applyFont="1" applyBorder="1" applyAlignment="1">
      <alignment horizontal="center"/>
    </xf>
    <xf numFmtId="43" fontId="4" fillId="0" borderId="0" xfId="6" applyFont="1"/>
    <xf numFmtId="0" fontId="17" fillId="0" borderId="20" xfId="3" applyFont="1" applyBorder="1" applyAlignment="1">
      <alignment horizontal="center" vertical="center"/>
    </xf>
    <xf numFmtId="0" fontId="4" fillId="0" borderId="19" xfId="3" applyFont="1" applyBorder="1" applyAlignment="1">
      <alignment horizontal="center" vertical="center"/>
    </xf>
    <xf numFmtId="43" fontId="4" fillId="0" borderId="11" xfId="6" applyFont="1" applyBorder="1" applyAlignment="1">
      <alignment horizontal="center" vertical="center"/>
    </xf>
    <xf numFmtId="0" fontId="4" fillId="0" borderId="20" xfId="3" applyFont="1" applyBorder="1" applyAlignment="1">
      <alignment horizontal="center" vertical="center"/>
    </xf>
    <xf numFmtId="43" fontId="4" fillId="0" borderId="12" xfId="6" applyFont="1" applyBorder="1" applyAlignment="1">
      <alignment horizontal="center" vertical="center"/>
    </xf>
    <xf numFmtId="0" fontId="17" fillId="0" borderId="18" xfId="3" applyFont="1" applyBorder="1" applyAlignment="1">
      <alignment horizontal="center" vertical="center"/>
    </xf>
    <xf numFmtId="0" fontId="35" fillId="2" borderId="0" xfId="0" applyFont="1" applyFill="1" applyAlignment="1">
      <alignment horizontal="center" wrapText="1"/>
    </xf>
    <xf numFmtId="3" fontId="0" fillId="0" borderId="0" xfId="0" applyNumberFormat="1"/>
    <xf numFmtId="14" fontId="35" fillId="2" borderId="0" xfId="10" applyNumberFormat="1" applyFont="1" applyFill="1" applyAlignment="1">
      <alignment horizontal="center" vertical="center"/>
    </xf>
    <xf numFmtId="0" fontId="72" fillId="2" borderId="0" xfId="9" applyFont="1" applyFill="1" applyAlignment="1">
      <alignment horizontal="center"/>
    </xf>
    <xf numFmtId="0" fontId="67" fillId="2" borderId="0" xfId="9" applyFont="1" applyFill="1" applyAlignment="1">
      <alignment horizontal="center" vertical="center"/>
    </xf>
    <xf numFmtId="0" fontId="73" fillId="2" borderId="0" xfId="9" applyFont="1" applyFill="1" applyAlignment="1">
      <alignment horizontal="center" vertical="center"/>
    </xf>
    <xf numFmtId="14" fontId="16" fillId="0" borderId="0" xfId="9" applyNumberFormat="1" applyFont="1" applyAlignment="1">
      <alignment horizontal="center"/>
    </xf>
    <xf numFmtId="0" fontId="16" fillId="0" borderId="0" xfId="9" applyFont="1" applyAlignment="1">
      <alignment horizontal="center"/>
    </xf>
    <xf numFmtId="4" fontId="22" fillId="0" borderId="0" xfId="0" applyNumberFormat="1" applyFont="1" applyAlignment="1">
      <alignment horizontal="center"/>
    </xf>
    <xf numFmtId="192" fontId="22" fillId="0" borderId="0" xfId="0" applyNumberFormat="1" applyFont="1" applyAlignment="1">
      <alignment horizontal="center"/>
    </xf>
    <xf numFmtId="166" fontId="55" fillId="0" borderId="0" xfId="11" applyFont="1"/>
    <xf numFmtId="189" fontId="53" fillId="7" borderId="10" xfId="9" applyNumberFormat="1" applyFont="1" applyFill="1" applyBorder="1"/>
    <xf numFmtId="177" fontId="53" fillId="7" borderId="10" xfId="9" applyNumberFormat="1" applyFont="1" applyFill="1" applyBorder="1"/>
    <xf numFmtId="0" fontId="4" fillId="0" borderId="12" xfId="3" applyFont="1" applyBorder="1"/>
    <xf numFmtId="0" fontId="35" fillId="2" borderId="17" xfId="0" applyFont="1" applyFill="1" applyBorder="1"/>
    <xf numFmtId="0" fontId="0" fillId="0" borderId="22" xfId="0" applyBorder="1"/>
    <xf numFmtId="4" fontId="29" fillId="0" borderId="18" xfId="3" applyNumberFormat="1" applyFont="1" applyBorder="1" applyAlignment="1">
      <alignment horizontal="center" wrapText="1"/>
    </xf>
    <xf numFmtId="0" fontId="17" fillId="0" borderId="1" xfId="3" applyFont="1" applyBorder="1" applyAlignment="1">
      <alignment horizontal="center" vertical="center"/>
    </xf>
    <xf numFmtId="0" fontId="4" fillId="0" borderId="0" xfId="3" applyFont="1" applyAlignment="1">
      <alignment horizontal="center" vertical="center"/>
    </xf>
    <xf numFmtId="0" fontId="4" fillId="0" borderId="1" xfId="3" applyFont="1" applyBorder="1" applyAlignment="1">
      <alignment horizontal="center" vertical="center"/>
    </xf>
    <xf numFmtId="0" fontId="35" fillId="2" borderId="17" xfId="0" applyFont="1" applyFill="1" applyBorder="1" applyAlignment="1">
      <alignment vertical="center"/>
    </xf>
    <xf numFmtId="0" fontId="35" fillId="2" borderId="18" xfId="0" applyFont="1" applyFill="1" applyBorder="1"/>
    <xf numFmtId="0" fontId="35" fillId="2" borderId="18" xfId="0" applyFont="1" applyFill="1" applyBorder="1" applyAlignment="1">
      <alignment vertical="center"/>
    </xf>
    <xf numFmtId="0" fontId="76" fillId="2" borderId="0" xfId="0" applyFont="1" applyFill="1" applyAlignment="1">
      <alignment horizontal="center"/>
    </xf>
    <xf numFmtId="4" fontId="22" fillId="2" borderId="0" xfId="0" applyNumberFormat="1" applyFont="1" applyFill="1" applyAlignment="1">
      <alignment horizontal="center"/>
    </xf>
    <xf numFmtId="10" fontId="75" fillId="0" borderId="0" xfId="13" applyNumberFormat="1" applyFont="1" applyAlignment="1">
      <alignment horizontal="center"/>
    </xf>
    <xf numFmtId="10" fontId="74" fillId="0" borderId="0" xfId="13" applyNumberFormat="1" applyFont="1" applyAlignment="1">
      <alignment horizontal="center"/>
    </xf>
    <xf numFmtId="14" fontId="22" fillId="0" borderId="0" xfId="0" applyNumberFormat="1" applyFont="1"/>
    <xf numFmtId="192" fontId="22" fillId="2" borderId="0" xfId="0" applyNumberFormat="1" applyFont="1" applyFill="1" applyAlignment="1">
      <alignment horizontal="center"/>
    </xf>
    <xf numFmtId="14" fontId="35" fillId="9" borderId="0" xfId="10" applyNumberFormat="1" applyFont="1" applyFill="1" applyAlignment="1">
      <alignment horizontal="center" vertical="center"/>
    </xf>
    <xf numFmtId="0" fontId="35" fillId="9" borderId="0" xfId="10" applyFont="1" applyFill="1" applyAlignment="1">
      <alignment horizontal="center" vertical="center"/>
    </xf>
    <xf numFmtId="180" fontId="43" fillId="0" borderId="0" xfId="0" applyNumberFormat="1" applyFont="1"/>
    <xf numFmtId="180" fontId="17" fillId="0" borderId="2" xfId="0" applyNumberFormat="1" applyFont="1" applyBorder="1"/>
    <xf numFmtId="180" fontId="43" fillId="0" borderId="1" xfId="0" applyNumberFormat="1" applyFont="1" applyBorder="1"/>
    <xf numFmtId="180" fontId="17" fillId="0" borderId="0" xfId="0" applyNumberFormat="1" applyFont="1"/>
    <xf numFmtId="180" fontId="17" fillId="0" borderId="5" xfId="0" applyNumberFormat="1" applyFont="1" applyBorder="1"/>
    <xf numFmtId="0" fontId="43" fillId="0" borderId="0" xfId="0" applyFont="1"/>
    <xf numFmtId="4" fontId="17" fillId="0" borderId="2" xfId="0" applyNumberFormat="1" applyFont="1" applyBorder="1"/>
    <xf numFmtId="2" fontId="77" fillId="0" borderId="0" xfId="0" applyNumberFormat="1" applyFont="1"/>
    <xf numFmtId="171" fontId="0" fillId="0" borderId="0" xfId="0" applyNumberFormat="1"/>
    <xf numFmtId="2" fontId="17" fillId="0" borderId="5" xfId="0" applyNumberFormat="1" applyFont="1" applyBorder="1"/>
    <xf numFmtId="0" fontId="13" fillId="0" borderId="2" xfId="0" applyFont="1" applyBorder="1"/>
    <xf numFmtId="169" fontId="0" fillId="0" borderId="0" xfId="0" applyNumberFormat="1" applyAlignment="1">
      <alignment horizontal="right"/>
    </xf>
    <xf numFmtId="169" fontId="27" fillId="0" borderId="0" xfId="0" applyNumberFormat="1" applyFont="1"/>
    <xf numFmtId="180" fontId="12" fillId="0" borderId="0" xfId="0" applyNumberFormat="1" applyFont="1"/>
    <xf numFmtId="2" fontId="22" fillId="0" borderId="0" xfId="0" applyNumberFormat="1" applyFont="1"/>
    <xf numFmtId="169" fontId="29" fillId="0" borderId="0" xfId="0" applyNumberFormat="1" applyFont="1" applyAlignment="1">
      <alignment horizontal="center"/>
    </xf>
    <xf numFmtId="180" fontId="12" fillId="0" borderId="2" xfId="0" applyNumberFormat="1" applyFont="1" applyBorder="1"/>
    <xf numFmtId="178" fontId="43" fillId="0" borderId="0" xfId="0" applyNumberFormat="1" applyFont="1"/>
    <xf numFmtId="2" fontId="1" fillId="0" borderId="0" xfId="0" applyNumberFormat="1" applyFont="1"/>
    <xf numFmtId="2" fontId="1" fillId="0" borderId="1" xfId="0" applyNumberFormat="1" applyFont="1" applyBorder="1"/>
    <xf numFmtId="180" fontId="43" fillId="0" borderId="0" xfId="0" applyNumberFormat="1" applyFont="1" applyAlignment="1">
      <alignment horizontal="right"/>
    </xf>
    <xf numFmtId="180" fontId="4" fillId="0" borderId="0" xfId="0" applyNumberFormat="1" applyFont="1"/>
    <xf numFmtId="174" fontId="17" fillId="0" borderId="1" xfId="0" applyNumberFormat="1" applyFont="1" applyBorder="1"/>
    <xf numFmtId="194" fontId="17" fillId="0" borderId="1" xfId="0" applyNumberFormat="1" applyFont="1" applyBorder="1"/>
    <xf numFmtId="0" fontId="0" fillId="0" borderId="21" xfId="0" applyBorder="1" applyAlignment="1">
      <alignment horizontal="left"/>
    </xf>
    <xf numFmtId="0" fontId="4" fillId="0" borderId="16" xfId="3" applyFont="1" applyBorder="1" applyAlignment="1">
      <alignment vertical="top" wrapText="1"/>
    </xf>
    <xf numFmtId="0" fontId="0" fillId="9" borderId="0" xfId="0" applyFill="1"/>
    <xf numFmtId="0" fontId="4" fillId="9" borderId="0" xfId="0" applyFont="1" applyFill="1" applyAlignment="1">
      <alignment horizontal="center"/>
    </xf>
    <xf numFmtId="0" fontId="19" fillId="9" borderId="0" xfId="0" applyFont="1" applyFill="1" applyAlignment="1">
      <alignment horizontal="center"/>
    </xf>
    <xf numFmtId="0" fontId="0" fillId="9" borderId="0" xfId="0" applyFill="1" applyAlignment="1">
      <alignment horizontal="center"/>
    </xf>
    <xf numFmtId="0" fontId="0" fillId="0" borderId="0" xfId="0" applyAlignment="1">
      <alignment horizontal="center"/>
    </xf>
    <xf numFmtId="177" fontId="50" fillId="9" borderId="0" xfId="3" applyNumberFormat="1" applyFont="1" applyFill="1" applyAlignment="1">
      <alignment vertical="center"/>
    </xf>
    <xf numFmtId="37" fontId="63" fillId="9" borderId="0" xfId="7" applyNumberFormat="1" applyFont="1" applyFill="1" applyAlignment="1">
      <alignment horizontal="left"/>
    </xf>
    <xf numFmtId="0" fontId="63" fillId="0" borderId="0" xfId="0" applyFont="1" applyAlignment="1">
      <alignment horizontal="left" vertical="center" wrapText="1"/>
    </xf>
    <xf numFmtId="195" fontId="55" fillId="0" borderId="0" xfId="0" applyNumberFormat="1" applyFont="1"/>
    <xf numFmtId="196" fontId="38" fillId="0" borderId="0" xfId="3" applyNumberFormat="1" applyFont="1" applyAlignment="1">
      <alignment vertical="center"/>
    </xf>
    <xf numFmtId="180" fontId="43" fillId="9" borderId="0" xfId="0" applyNumberFormat="1" applyFont="1" applyFill="1"/>
    <xf numFmtId="2" fontId="9" fillId="11" borderId="0" xfId="7" applyNumberFormat="1" applyFont="1" applyFill="1" applyAlignment="1">
      <alignment horizontal="right"/>
    </xf>
    <xf numFmtId="191" fontId="4" fillId="0" borderId="11" xfId="6" applyNumberFormat="1" applyFont="1" applyBorder="1" applyAlignment="1">
      <alignment horizontal="right"/>
    </xf>
    <xf numFmtId="9" fontId="16" fillId="0" borderId="0" xfId="2" applyFont="1"/>
    <xf numFmtId="4" fontId="43" fillId="0" borderId="0" xfId="0" applyNumberFormat="1" applyFont="1"/>
    <xf numFmtId="180" fontId="4" fillId="0" borderId="1" xfId="0" applyNumberFormat="1" applyFont="1" applyBorder="1"/>
    <xf numFmtId="180" fontId="17" fillId="0" borderId="0" xfId="0" applyNumberFormat="1" applyFont="1" applyAlignment="1">
      <alignment horizontal="center"/>
    </xf>
    <xf numFmtId="180" fontId="17" fillId="0" borderId="0" xfId="0" applyNumberFormat="1" applyFont="1" applyAlignment="1">
      <alignment horizontal="right"/>
    </xf>
    <xf numFmtId="4" fontId="78" fillId="0" borderId="0" xfId="0" applyNumberFormat="1" applyFont="1"/>
    <xf numFmtId="10" fontId="38" fillId="0" borderId="0" xfId="0" applyNumberFormat="1" applyFont="1"/>
    <xf numFmtId="0" fontId="0" fillId="0" borderId="1" xfId="0" applyBorder="1" applyAlignment="1">
      <alignment horizontal="left" vertical="top"/>
    </xf>
    <xf numFmtId="10" fontId="4" fillId="0" borderId="0" xfId="0" applyNumberFormat="1" applyFont="1"/>
    <xf numFmtId="0" fontId="1" fillId="0" borderId="0" xfId="0" applyFont="1" applyAlignment="1">
      <alignment horizontal="center" vertical="center" wrapText="1"/>
    </xf>
    <xf numFmtId="4" fontId="4" fillId="0" borderId="0" xfId="0" applyNumberFormat="1" applyFont="1"/>
    <xf numFmtId="180" fontId="13" fillId="0" borderId="0" xfId="0" applyNumberFormat="1" applyFont="1"/>
    <xf numFmtId="171" fontId="13" fillId="0" borderId="0" xfId="0" applyNumberFormat="1" applyFont="1"/>
    <xf numFmtId="0" fontId="4" fillId="9" borderId="0" xfId="0" applyFont="1" applyFill="1"/>
    <xf numFmtId="180" fontId="4" fillId="9" borderId="0" xfId="0" applyNumberFormat="1" applyFont="1" applyFill="1"/>
    <xf numFmtId="171" fontId="4" fillId="9" borderId="0" xfId="0" applyNumberFormat="1" applyFont="1" applyFill="1"/>
    <xf numFmtId="180" fontId="13" fillId="9" borderId="0" xfId="0" applyNumberFormat="1" applyFont="1" applyFill="1"/>
    <xf numFmtId="191" fontId="4" fillId="0" borderId="12" xfId="6" applyNumberFormat="1" applyFont="1" applyBorder="1" applyAlignment="1">
      <alignment horizontal="right"/>
    </xf>
    <xf numFmtId="39" fontId="63" fillId="0" borderId="0" xfId="3" applyNumberFormat="1" applyFont="1" applyAlignment="1">
      <alignment vertical="center"/>
    </xf>
    <xf numFmtId="0" fontId="2" fillId="0" borderId="24" xfId="1" applyBorder="1"/>
    <xf numFmtId="0" fontId="79" fillId="2" borderId="0" xfId="0" applyFont="1" applyFill="1"/>
    <xf numFmtId="171" fontId="4" fillId="9" borderId="0" xfId="0" applyNumberFormat="1" applyFont="1" applyFill="1" applyAlignment="1">
      <alignment horizontal="right"/>
    </xf>
    <xf numFmtId="193" fontId="4" fillId="0" borderId="0" xfId="0" applyNumberFormat="1" applyFont="1"/>
    <xf numFmtId="1" fontId="0" fillId="0" borderId="0" xfId="0" applyNumberFormat="1"/>
    <xf numFmtId="193" fontId="43" fillId="0" borderId="0" xfId="0" applyNumberFormat="1" applyFont="1" applyAlignment="1">
      <alignment horizontal="right"/>
    </xf>
    <xf numFmtId="3" fontId="17" fillId="0" borderId="2" xfId="0" applyNumberFormat="1" applyFont="1" applyBorder="1"/>
    <xf numFmtId="197" fontId="43" fillId="0" borderId="0" xfId="0" applyNumberFormat="1" applyFont="1"/>
    <xf numFmtId="198" fontId="43" fillId="0" borderId="0" xfId="14" applyNumberFormat="1" applyFont="1"/>
    <xf numFmtId="198" fontId="4" fillId="0" borderId="0" xfId="14" applyNumberFormat="1" applyFont="1"/>
    <xf numFmtId="198" fontId="17" fillId="0" borderId="2" xfId="14" applyNumberFormat="1" applyFont="1" applyBorder="1"/>
    <xf numFmtId="198" fontId="0" fillId="0" borderId="0" xfId="14" applyNumberFormat="1" applyFont="1"/>
    <xf numFmtId="198" fontId="43" fillId="0" borderId="1" xfId="14" applyNumberFormat="1" applyFont="1" applyBorder="1"/>
    <xf numFmtId="198" fontId="4" fillId="0" borderId="1" xfId="14" applyNumberFormat="1" applyFont="1" applyBorder="1"/>
    <xf numFmtId="198" fontId="17" fillId="0" borderId="0" xfId="14" applyNumberFormat="1" applyFont="1"/>
    <xf numFmtId="198" fontId="17" fillId="0" borderId="5" xfId="14" applyNumberFormat="1" applyFont="1" applyBorder="1"/>
    <xf numFmtId="171" fontId="13" fillId="0" borderId="0" xfId="0" applyNumberFormat="1" applyFont="1" applyAlignment="1">
      <alignment horizontal="right"/>
    </xf>
    <xf numFmtId="0" fontId="44" fillId="0" borderId="13" xfId="15" applyBorder="1"/>
    <xf numFmtId="0" fontId="85" fillId="0" borderId="11" xfId="15" applyFont="1" applyBorder="1" applyAlignment="1">
      <alignment vertical="center"/>
    </xf>
    <xf numFmtId="0" fontId="87" fillId="2" borderId="0" xfId="0" applyFont="1" applyFill="1" applyAlignment="1">
      <alignment vertical="center"/>
    </xf>
    <xf numFmtId="0" fontId="60" fillId="2" borderId="0" xfId="0" applyFont="1" applyFill="1"/>
    <xf numFmtId="0" fontId="89" fillId="2" borderId="0" xfId="0" applyFont="1" applyFill="1" applyAlignment="1">
      <alignment vertical="center"/>
    </xf>
    <xf numFmtId="0" fontId="0" fillId="0" borderId="19" xfId="0" applyBorder="1" applyAlignment="1">
      <alignment horizontal="right"/>
    </xf>
    <xf numFmtId="0" fontId="24" fillId="0" borderId="20" xfId="0" applyFont="1" applyBorder="1" applyAlignment="1">
      <alignment horizontal="right"/>
    </xf>
    <xf numFmtId="0" fontId="24" fillId="0" borderId="1" xfId="0" applyFont="1" applyBorder="1" applyAlignment="1">
      <alignment horizontal="right"/>
    </xf>
    <xf numFmtId="0" fontId="33" fillId="9" borderId="0" xfId="0" applyFont="1" applyFill="1" applyAlignment="1">
      <alignment horizontal="left" vertical="center"/>
    </xf>
    <xf numFmtId="10" fontId="0" fillId="0" borderId="0" xfId="2" applyNumberFormat="1" applyFont="1"/>
    <xf numFmtId="0" fontId="0" fillId="12" borderId="0" xfId="0" applyFill="1" applyAlignment="1">
      <alignment horizontal="right"/>
    </xf>
    <xf numFmtId="0" fontId="24" fillId="12" borderId="1" xfId="0" applyFont="1" applyFill="1" applyBorder="1" applyAlignment="1">
      <alignment horizontal="right"/>
    </xf>
    <xf numFmtId="0" fontId="0" fillId="12" borderId="0" xfId="0" applyFill="1"/>
    <xf numFmtId="0" fontId="88" fillId="2" borderId="0" xfId="0" applyFont="1" applyFill="1"/>
    <xf numFmtId="0" fontId="92" fillId="2" borderId="0" xfId="0" applyFont="1" applyFill="1"/>
    <xf numFmtId="0" fontId="93" fillId="0" borderId="0" xfId="0" applyFont="1"/>
    <xf numFmtId="0" fontId="94" fillId="2" borderId="0" xfId="0" applyFont="1" applyFill="1"/>
    <xf numFmtId="0" fontId="95" fillId="2" borderId="0" xfId="0" applyFont="1" applyFill="1"/>
    <xf numFmtId="0" fontId="91" fillId="2" borderId="0" xfId="0" applyFont="1" applyFill="1"/>
    <xf numFmtId="0" fontId="97" fillId="12" borderId="0" xfId="0" applyFont="1" applyFill="1" applyAlignment="1">
      <alignment horizontal="center"/>
    </xf>
    <xf numFmtId="0" fontId="96" fillId="12" borderId="0" xfId="0" applyFont="1" applyFill="1"/>
    <xf numFmtId="0" fontId="98" fillId="0" borderId="0" xfId="1" applyFont="1"/>
    <xf numFmtId="0" fontId="99" fillId="2" borderId="0" xfId="0" applyFont="1" applyFill="1"/>
    <xf numFmtId="0" fontId="100" fillId="2" borderId="0" xfId="0" applyFont="1" applyFill="1"/>
    <xf numFmtId="0" fontId="101" fillId="2" borderId="0" xfId="0" applyFont="1" applyFill="1"/>
    <xf numFmtId="0" fontId="90" fillId="0" borderId="16" xfId="15" applyFont="1" applyBorder="1" applyAlignment="1">
      <alignment vertical="center"/>
    </xf>
    <xf numFmtId="4" fontId="17" fillId="0" borderId="0" xfId="0" applyNumberFormat="1" applyFont="1" applyAlignment="1">
      <alignment horizontal="center"/>
    </xf>
    <xf numFmtId="180" fontId="17" fillId="0" borderId="1" xfId="0" applyNumberFormat="1" applyFont="1" applyBorder="1" applyAlignment="1">
      <alignment horizontal="center"/>
    </xf>
    <xf numFmtId="0" fontId="17" fillId="0" borderId="1" xfId="0" applyFont="1" applyBorder="1" applyAlignment="1">
      <alignment horizontal="center"/>
    </xf>
    <xf numFmtId="0" fontId="102" fillId="2" borderId="0" xfId="0" applyFont="1" applyFill="1"/>
    <xf numFmtId="0" fontId="103" fillId="2" borderId="0" xfId="0" applyFont="1" applyFill="1"/>
    <xf numFmtId="0" fontId="38" fillId="0" borderId="0" xfId="0" applyFont="1" applyAlignment="1">
      <alignment horizontal="right"/>
    </xf>
    <xf numFmtId="0" fontId="7" fillId="0" borderId="0" xfId="0" applyFont="1" applyAlignment="1">
      <alignment horizontal="right"/>
    </xf>
    <xf numFmtId="0" fontId="33" fillId="9" borderId="0" xfId="0" applyFont="1" applyFill="1"/>
    <xf numFmtId="0" fontId="102" fillId="9" borderId="0" xfId="0" applyFont="1" applyFill="1"/>
    <xf numFmtId="0" fontId="103" fillId="9" borderId="0" xfId="0" applyFont="1" applyFill="1"/>
    <xf numFmtId="0" fontId="0" fillId="10" borderId="0" xfId="0" applyFill="1"/>
    <xf numFmtId="200" fontId="1" fillId="0" borderId="23" xfId="0" applyNumberFormat="1" applyFont="1" applyBorder="1"/>
    <xf numFmtId="200" fontId="1" fillId="0" borderId="2" xfId="0" applyNumberFormat="1" applyFont="1" applyBorder="1"/>
    <xf numFmtId="10" fontId="1" fillId="0" borderId="0" xfId="2" applyNumberFormat="1" applyFont="1"/>
    <xf numFmtId="2" fontId="0" fillId="9" borderId="19" xfId="0" applyNumberFormat="1" applyFill="1" applyBorder="1" applyAlignment="1">
      <alignment horizontal="center" vertical="center"/>
    </xf>
    <xf numFmtId="2" fontId="0" fillId="9" borderId="0" xfId="0" applyNumberFormat="1" applyFill="1" applyAlignment="1">
      <alignment horizontal="center" vertical="center"/>
    </xf>
    <xf numFmtId="2" fontId="0" fillId="12" borderId="0" xfId="0" applyNumberFormat="1" applyFill="1" applyAlignment="1">
      <alignment horizontal="center" vertical="center"/>
    </xf>
    <xf numFmtId="201" fontId="43" fillId="0" borderId="0" xfId="0" applyNumberFormat="1" applyFont="1"/>
    <xf numFmtId="0" fontId="26" fillId="0" borderId="0" xfId="0" applyFont="1"/>
    <xf numFmtId="14" fontId="104" fillId="0" borderId="0" xfId="0" applyNumberFormat="1" applyFont="1"/>
    <xf numFmtId="3" fontId="26" fillId="0" borderId="0" xfId="0" applyNumberFormat="1" applyFont="1"/>
    <xf numFmtId="14" fontId="26" fillId="0" borderId="0" xfId="0" applyNumberFormat="1" applyFont="1"/>
    <xf numFmtId="15" fontId="26" fillId="0" borderId="0" xfId="0" applyNumberFormat="1" applyFont="1"/>
    <xf numFmtId="2" fontId="0" fillId="10" borderId="0" xfId="0" applyNumberFormat="1" applyFill="1" applyAlignment="1">
      <alignment horizontal="center" vertical="center"/>
    </xf>
    <xf numFmtId="176" fontId="1" fillId="0" borderId="0" xfId="0" applyNumberFormat="1" applyFont="1"/>
    <xf numFmtId="201" fontId="17" fillId="0" borderId="0" xfId="2" applyNumberFormat="1" applyFont="1"/>
    <xf numFmtId="176" fontId="0" fillId="0" borderId="0" xfId="0" applyNumberFormat="1"/>
    <xf numFmtId="10" fontId="0" fillId="0" borderId="0" xfId="2" applyNumberFormat="1" applyFont="1" applyBorder="1"/>
    <xf numFmtId="10" fontId="0" fillId="0" borderId="23" xfId="2" applyNumberFormat="1" applyFont="1" applyBorder="1"/>
    <xf numFmtId="10" fontId="0" fillId="0" borderId="2" xfId="2" applyNumberFormat="1" applyFont="1" applyBorder="1"/>
    <xf numFmtId="4" fontId="0" fillId="0" borderId="19" xfId="0" applyNumberFormat="1" applyBorder="1" applyAlignment="1">
      <alignment horizontal="center"/>
    </xf>
    <xf numFmtId="4" fontId="0" fillId="0" borderId="0" xfId="0" applyNumberFormat="1" applyAlignment="1">
      <alignment horizontal="center"/>
    </xf>
    <xf numFmtId="4" fontId="0" fillId="10" borderId="0" xfId="0" applyNumberFormat="1" applyFill="1" applyAlignment="1">
      <alignment horizontal="center"/>
    </xf>
    <xf numFmtId="4" fontId="0" fillId="12" borderId="0" xfId="0" applyNumberFormat="1" applyFill="1" applyAlignment="1">
      <alignment horizontal="center"/>
    </xf>
    <xf numFmtId="166" fontId="4" fillId="0" borderId="0" xfId="14" applyFont="1"/>
    <xf numFmtId="10" fontId="4" fillId="9" borderId="0" xfId="0" applyNumberFormat="1" applyFont="1" applyFill="1"/>
    <xf numFmtId="202" fontId="4" fillId="0" borderId="0" xfId="0" applyNumberFormat="1" applyFont="1"/>
    <xf numFmtId="166" fontId="17" fillId="0" borderId="2" xfId="14" applyFont="1" applyBorder="1"/>
    <xf numFmtId="0" fontId="84" fillId="0" borderId="0" xfId="15" applyFont="1" applyAlignment="1">
      <alignment horizontal="center" vertical="center" wrapText="1"/>
    </xf>
    <xf numFmtId="0" fontId="84" fillId="0" borderId="1" xfId="15" applyFont="1" applyBorder="1" applyAlignment="1">
      <alignment horizontal="center" vertical="center" wrapText="1"/>
    </xf>
    <xf numFmtId="0" fontId="44" fillId="0" borderId="0" xfId="15"/>
    <xf numFmtId="0" fontId="90" fillId="0" borderId="0" xfId="15" applyFont="1" applyAlignment="1">
      <alignment vertical="center"/>
    </xf>
    <xf numFmtId="0" fontId="85" fillId="0" borderId="0" xfId="15" applyFont="1" applyAlignment="1">
      <alignment vertical="center"/>
    </xf>
    <xf numFmtId="0" fontId="84" fillId="0" borderId="0" xfId="15" applyFont="1" applyAlignment="1">
      <alignment vertical="center"/>
    </xf>
    <xf numFmtId="2" fontId="85" fillId="0" borderId="0" xfId="15" applyNumberFormat="1" applyFont="1" applyAlignment="1">
      <alignment vertical="center"/>
    </xf>
    <xf numFmtId="0" fontId="86" fillId="0" borderId="0" xfId="15" applyFont="1" applyAlignment="1">
      <alignment vertical="center"/>
    </xf>
    <xf numFmtId="0" fontId="85" fillId="0" borderId="1" xfId="15" applyFont="1" applyBorder="1" applyAlignment="1">
      <alignment vertical="center"/>
    </xf>
    <xf numFmtId="0" fontId="0" fillId="0" borderId="16" xfId="0" applyBorder="1" applyAlignment="1">
      <alignment vertical="center" wrapText="1"/>
    </xf>
    <xf numFmtId="2" fontId="0" fillId="0" borderId="16" xfId="0" applyNumberFormat="1" applyBorder="1" applyAlignment="1">
      <alignment vertical="center" wrapText="1"/>
    </xf>
    <xf numFmtId="0" fontId="0" fillId="0" borderId="25" xfId="0" applyBorder="1" applyAlignment="1">
      <alignment vertical="center" wrapText="1"/>
    </xf>
    <xf numFmtId="0" fontId="0" fillId="0" borderId="24" xfId="0" applyBorder="1" applyAlignment="1">
      <alignment vertical="center" wrapText="1"/>
    </xf>
    <xf numFmtId="0" fontId="0" fillId="0" borderId="16" xfId="0" applyBorder="1" applyAlignment="1">
      <alignment vertical="top" wrapText="1"/>
    </xf>
    <xf numFmtId="0" fontId="0" fillId="0" borderId="16" xfId="0" applyBorder="1" applyAlignment="1">
      <alignment horizontal="left" vertical="top" wrapText="1"/>
    </xf>
    <xf numFmtId="0" fontId="0" fillId="12" borderId="1" xfId="0" applyFill="1" applyBorder="1"/>
    <xf numFmtId="0" fontId="85" fillId="9" borderId="11" xfId="15" applyFont="1" applyFill="1" applyBorder="1" applyAlignment="1">
      <alignment vertical="center"/>
    </xf>
    <xf numFmtId="0" fontId="0" fillId="0" borderId="0" xfId="0" applyAlignment="1">
      <alignment vertical="top" wrapText="1"/>
    </xf>
    <xf numFmtId="0" fontId="0" fillId="9" borderId="0" xfId="0" applyFill="1" applyAlignment="1">
      <alignment horizontal="center" vertical="center" wrapText="1"/>
    </xf>
    <xf numFmtId="0" fontId="4" fillId="0" borderId="13" xfId="3" applyFont="1" applyBorder="1" applyAlignment="1">
      <alignment horizontal="center" vertical="center" wrapText="1"/>
    </xf>
    <xf numFmtId="0" fontId="4" fillId="0" borderId="18" xfId="3" applyFont="1" applyBorder="1" applyAlignment="1">
      <alignment horizontal="center" vertical="center" wrapText="1"/>
    </xf>
    <xf numFmtId="0" fontId="4" fillId="0" borderId="18" xfId="3" applyFont="1" applyBorder="1" applyAlignment="1">
      <alignment horizontal="center" vertical="center"/>
    </xf>
    <xf numFmtId="0" fontId="4" fillId="0" borderId="21" xfId="3" applyFont="1" applyBorder="1" applyAlignment="1">
      <alignment horizontal="center" vertical="center" wrapText="1"/>
    </xf>
    <xf numFmtId="0" fontId="4" fillId="0" borderId="16" xfId="3" applyFont="1" applyBorder="1" applyAlignment="1">
      <alignment horizontal="center" vertical="center" wrapText="1"/>
    </xf>
    <xf numFmtId="0" fontId="4" fillId="0" borderId="24" xfId="3" applyFont="1" applyBorder="1" applyAlignment="1">
      <alignment horizontal="center" vertical="center"/>
    </xf>
    <xf numFmtId="0" fontId="4" fillId="0" borderId="16" xfId="3" applyFont="1" applyBorder="1" applyAlignment="1">
      <alignment horizontal="center" vertical="center"/>
    </xf>
    <xf numFmtId="14" fontId="0" fillId="0" borderId="0" xfId="0" applyNumberFormat="1"/>
    <xf numFmtId="10" fontId="0" fillId="0" borderId="0" xfId="2" applyNumberFormat="1" applyFont="1" applyAlignment="1">
      <alignment vertical="center"/>
    </xf>
    <xf numFmtId="10" fontId="0" fillId="12" borderId="0" xfId="2" applyNumberFormat="1" applyFont="1" applyFill="1" applyAlignment="1">
      <alignment vertical="center"/>
    </xf>
    <xf numFmtId="0" fontId="0" fillId="0" borderId="0" xfId="0" applyAlignment="1">
      <alignment vertical="center"/>
    </xf>
    <xf numFmtId="2" fontId="0" fillId="0" borderId="0" xfId="2" applyNumberFormat="1" applyFont="1" applyAlignment="1">
      <alignment vertical="center"/>
    </xf>
    <xf numFmtId="2" fontId="0" fillId="12" borderId="0" xfId="2" applyNumberFormat="1" applyFont="1" applyFill="1" applyAlignment="1">
      <alignment vertical="center"/>
    </xf>
    <xf numFmtId="199" fontId="0" fillId="0" borderId="0" xfId="2" applyNumberFormat="1" applyFont="1" applyAlignment="1">
      <alignment vertical="center"/>
    </xf>
    <xf numFmtId="199" fontId="0" fillId="12" borderId="0" xfId="2" applyNumberFormat="1" applyFont="1" applyFill="1" applyAlignment="1">
      <alignment vertical="center"/>
    </xf>
    <xf numFmtId="2" fontId="0" fillId="0" borderId="0" xfId="2" applyNumberFormat="1" applyFont="1" applyBorder="1" applyAlignment="1">
      <alignment vertical="center"/>
    </xf>
    <xf numFmtId="2" fontId="0" fillId="12" borderId="0" xfId="2" applyNumberFormat="1" applyFont="1" applyFill="1" applyBorder="1" applyAlignment="1">
      <alignment vertical="center"/>
    </xf>
    <xf numFmtId="10" fontId="0" fillId="0" borderId="1" xfId="2" applyNumberFormat="1" applyFont="1" applyBorder="1" applyAlignment="1">
      <alignment vertical="center"/>
    </xf>
    <xf numFmtId="10" fontId="0" fillId="12" borderId="1" xfId="2" applyNumberFormat="1" applyFont="1" applyFill="1" applyBorder="1" applyAlignment="1">
      <alignment vertical="center"/>
    </xf>
    <xf numFmtId="0" fontId="0" fillId="0" borderId="16" xfId="0" applyFill="1" applyBorder="1" applyAlignment="1">
      <alignment vertical="center" wrapText="1"/>
    </xf>
    <xf numFmtId="0" fontId="84" fillId="0" borderId="11" xfId="15" applyFont="1" applyBorder="1" applyAlignment="1">
      <alignment horizontal="center" vertical="center" wrapText="1"/>
    </xf>
    <xf numFmtId="0" fontId="84" fillId="0" borderId="12" xfId="15" applyFont="1" applyBorder="1" applyAlignment="1">
      <alignment horizontal="center" vertical="center" wrapText="1"/>
    </xf>
    <xf numFmtId="0" fontId="0" fillId="12" borderId="0" xfId="0" applyFill="1" applyAlignment="1">
      <alignment horizontal="center" vertical="center"/>
    </xf>
    <xf numFmtId="0" fontId="0" fillId="12" borderId="1" xfId="0" applyFill="1" applyBorder="1" applyAlignment="1">
      <alignment horizontal="center" vertical="center"/>
    </xf>
    <xf numFmtId="9" fontId="7" fillId="0" borderId="0" xfId="0" applyNumberFormat="1" applyFont="1" applyBorder="1"/>
    <xf numFmtId="177" fontId="70" fillId="0" borderId="0" xfId="0" applyNumberFormat="1" applyFont="1" applyBorder="1"/>
    <xf numFmtId="0" fontId="0" fillId="0" borderId="0" xfId="0" applyBorder="1"/>
    <xf numFmtId="0" fontId="7" fillId="0" borderId="0" xfId="0" applyFont="1" applyBorder="1" applyAlignment="1">
      <alignment horizontal="right"/>
    </xf>
    <xf numFmtId="177" fontId="81" fillId="0" borderId="16" xfId="0" applyNumberFormat="1" applyFont="1" applyBorder="1"/>
    <xf numFmtId="177" fontId="38" fillId="0" borderId="23" xfId="0" applyNumberFormat="1" applyFont="1" applyBorder="1"/>
    <xf numFmtId="177" fontId="38" fillId="0" borderId="21" xfId="0" applyNumberFormat="1" applyFont="1" applyBorder="1"/>
    <xf numFmtId="10" fontId="38" fillId="0" borderId="22" xfId="0" applyNumberFormat="1" applyFont="1" applyBorder="1"/>
    <xf numFmtId="177" fontId="38" fillId="0" borderId="19" xfId="0" applyNumberFormat="1" applyFont="1" applyBorder="1"/>
    <xf numFmtId="0" fontId="7" fillId="0" borderId="16" xfId="0" applyFont="1" applyBorder="1" applyAlignment="1">
      <alignment horizontal="left"/>
    </xf>
    <xf numFmtId="0" fontId="7" fillId="9" borderId="16" xfId="0" applyFont="1" applyFill="1" applyBorder="1" applyAlignment="1">
      <alignment horizontal="left"/>
    </xf>
    <xf numFmtId="0" fontId="80" fillId="0" borderId="16" xfId="0" applyFont="1" applyBorder="1" applyAlignment="1">
      <alignment horizontal="left"/>
    </xf>
    <xf numFmtId="0" fontId="84" fillId="9" borderId="16" xfId="15" applyFont="1" applyFill="1" applyBorder="1" applyAlignment="1">
      <alignment vertical="center"/>
    </xf>
    <xf numFmtId="2" fontId="85" fillId="9" borderId="11" xfId="15" applyNumberFormat="1" applyFont="1" applyFill="1" applyBorder="1" applyAlignment="1">
      <alignment vertical="center"/>
    </xf>
    <xf numFmtId="0" fontId="86" fillId="9" borderId="11" xfId="15" applyFont="1" applyFill="1" applyBorder="1" applyAlignment="1">
      <alignment vertical="center"/>
    </xf>
    <xf numFmtId="0" fontId="85" fillId="9" borderId="12" xfId="15" applyFont="1" applyFill="1" applyBorder="1" applyAlignment="1">
      <alignment vertical="center"/>
    </xf>
    <xf numFmtId="0" fontId="0" fillId="0" borderId="0" xfId="0" applyAlignment="1">
      <alignment vertical="top" wrapText="1"/>
    </xf>
    <xf numFmtId="0" fontId="35" fillId="2" borderId="1" xfId="0" applyFont="1" applyFill="1" applyBorder="1" applyAlignment="1">
      <alignment horizontal="center"/>
    </xf>
    <xf numFmtId="0" fontId="4" fillId="0" borderId="17" xfId="3" applyFont="1" applyBorder="1" applyAlignment="1">
      <alignment horizontal="left" vertical="center"/>
    </xf>
    <xf numFmtId="0" fontId="4" fillId="0" borderId="9" xfId="3" applyFont="1" applyBorder="1" applyAlignment="1">
      <alignment horizontal="left" vertical="center"/>
    </xf>
    <xf numFmtId="0" fontId="4" fillId="0" borderId="18" xfId="3" applyFont="1" applyBorder="1" applyAlignment="1">
      <alignment horizontal="left" vertical="center"/>
    </xf>
    <xf numFmtId="0" fontId="4" fillId="0" borderId="17" xfId="3" applyFont="1" applyBorder="1" applyAlignment="1">
      <alignment horizontal="left" vertical="top" wrapText="1"/>
    </xf>
    <xf numFmtId="0" fontId="4" fillId="0" borderId="9" xfId="3" applyFont="1" applyBorder="1" applyAlignment="1">
      <alignment horizontal="left" vertical="top" wrapText="1"/>
    </xf>
    <xf numFmtId="0" fontId="4" fillId="0" borderId="18" xfId="3" applyFont="1" applyBorder="1" applyAlignment="1">
      <alignment horizontal="left" vertical="top" wrapText="1"/>
    </xf>
    <xf numFmtId="0" fontId="4" fillId="0" borderId="17" xfId="3" applyFont="1" applyBorder="1" applyAlignment="1">
      <alignment vertical="center" wrapText="1"/>
    </xf>
    <xf numFmtId="0" fontId="4" fillId="0" borderId="9" xfId="3" applyFont="1" applyBorder="1" applyAlignment="1">
      <alignment vertical="center" wrapText="1"/>
    </xf>
    <xf numFmtId="0" fontId="4" fillId="0" borderId="18" xfId="3" applyFont="1" applyBorder="1" applyAlignment="1">
      <alignment vertical="center" wrapText="1"/>
    </xf>
    <xf numFmtId="0" fontId="4" fillId="0" borderId="23" xfId="3" applyFont="1" applyBorder="1" applyAlignment="1">
      <alignment vertical="top" wrapText="1"/>
    </xf>
    <xf numFmtId="0" fontId="4" fillId="0" borderId="2" xfId="3" applyFont="1" applyBorder="1" applyAlignment="1">
      <alignment vertical="top" wrapText="1"/>
    </xf>
    <xf numFmtId="0" fontId="4" fillId="0" borderId="13" xfId="3" applyFont="1" applyBorder="1" applyAlignment="1">
      <alignment vertical="top" wrapText="1"/>
    </xf>
    <xf numFmtId="0" fontId="4" fillId="0" borderId="23" xfId="3" applyFont="1" applyBorder="1" applyAlignment="1">
      <alignment vertical="center" wrapText="1"/>
    </xf>
    <xf numFmtId="0" fontId="4" fillId="0" borderId="2" xfId="3" applyFont="1" applyBorder="1" applyAlignment="1">
      <alignment vertical="center" wrapText="1"/>
    </xf>
    <xf numFmtId="0" fontId="4" fillId="0" borderId="13" xfId="3" applyFont="1" applyBorder="1" applyAlignment="1">
      <alignment vertical="center" wrapText="1"/>
    </xf>
    <xf numFmtId="0" fontId="4" fillId="0" borderId="21" xfId="3" applyFont="1" applyBorder="1" applyAlignment="1">
      <alignment horizontal="center" vertical="center"/>
    </xf>
    <xf numFmtId="0" fontId="4" fillId="0" borderId="22" xfId="3" applyFont="1" applyBorder="1" applyAlignment="1">
      <alignment horizontal="center" vertical="center"/>
    </xf>
    <xf numFmtId="0" fontId="4" fillId="0" borderId="24" xfId="3" applyFont="1" applyBorder="1" applyAlignment="1">
      <alignment horizontal="center" vertical="center"/>
    </xf>
    <xf numFmtId="0" fontId="4" fillId="0" borderId="17" xfId="3" applyFont="1" applyBorder="1" applyAlignment="1">
      <alignment horizontal="left" vertical="center" wrapText="1"/>
    </xf>
    <xf numFmtId="0" fontId="4" fillId="0" borderId="9" xfId="3" applyFont="1" applyBorder="1" applyAlignment="1">
      <alignment horizontal="left" vertical="center" wrapText="1"/>
    </xf>
    <xf numFmtId="0" fontId="4" fillId="0" borderId="18" xfId="3" applyFont="1" applyBorder="1" applyAlignment="1">
      <alignment horizontal="left" vertical="center" wrapText="1"/>
    </xf>
    <xf numFmtId="0" fontId="35" fillId="2" borderId="0" xfId="0" applyFont="1" applyFill="1" applyAlignment="1">
      <alignment horizontal="center"/>
    </xf>
    <xf numFmtId="0" fontId="4" fillId="0" borderId="21" xfId="3" applyFont="1" applyBorder="1" applyAlignment="1">
      <alignment horizontal="center" vertical="center" wrapText="1"/>
    </xf>
    <xf numFmtId="0" fontId="4" fillId="0" borderId="22" xfId="3" applyFont="1" applyBorder="1" applyAlignment="1">
      <alignment horizontal="center" vertical="center" wrapText="1"/>
    </xf>
    <xf numFmtId="0" fontId="4" fillId="0" borderId="24" xfId="3" applyFont="1" applyBorder="1" applyAlignment="1">
      <alignment horizontal="center" vertical="center" wrapText="1"/>
    </xf>
    <xf numFmtId="0" fontId="13" fillId="0" borderId="17" xfId="3" applyFont="1" applyBorder="1" applyAlignment="1">
      <alignment horizontal="left" vertical="center" wrapText="1"/>
    </xf>
    <xf numFmtId="0" fontId="13" fillId="0" borderId="9" xfId="3" applyFont="1" applyBorder="1" applyAlignment="1">
      <alignment horizontal="left" vertical="center" wrapText="1"/>
    </xf>
    <xf numFmtId="0" fontId="13" fillId="0" borderId="18" xfId="3" applyFont="1" applyBorder="1" applyAlignment="1">
      <alignment horizontal="left" vertical="center" wrapText="1"/>
    </xf>
    <xf numFmtId="0" fontId="25" fillId="0" borderId="0" xfId="0" applyFont="1" applyAlignment="1">
      <alignment horizontal="center"/>
    </xf>
    <xf numFmtId="0" fontId="25" fillId="0" borderId="0" xfId="0" applyFont="1" applyAlignment="1">
      <alignment horizontal="right" vertical="center" textRotation="180"/>
    </xf>
    <xf numFmtId="0" fontId="91" fillId="2" borderId="0" xfId="0" applyFont="1" applyFill="1" applyAlignment="1">
      <alignment horizontal="center" vertical="center"/>
    </xf>
    <xf numFmtId="0" fontId="91" fillId="2" borderId="0" xfId="0" applyFont="1" applyFill="1" applyAlignment="1">
      <alignment horizontal="center"/>
    </xf>
    <xf numFmtId="0" fontId="88" fillId="2" borderId="0" xfId="0" applyFont="1" applyFill="1" applyAlignment="1">
      <alignment horizontal="center" vertical="center"/>
    </xf>
    <xf numFmtId="0" fontId="38" fillId="0" borderId="0" xfId="0" applyFont="1" applyBorder="1" applyAlignment="1">
      <alignment horizontal="left"/>
    </xf>
  </cellXfs>
  <cellStyles count="19">
    <cellStyle name="20% - Accent1 2" xfId="4"/>
    <cellStyle name="20% - Accent1 2 2" xfId="16"/>
    <cellStyle name="Comma" xfId="14" builtinId="3"/>
    <cellStyle name="Comma 2" xfId="6"/>
    <cellStyle name="Comma 2 2" xfId="18"/>
    <cellStyle name="Comma 4" xfId="8"/>
    <cellStyle name="Comma 5" xfId="11"/>
    <cellStyle name="Hyperlink" xfId="1" builtinId="8"/>
    <cellStyle name="Normal" xfId="0" builtinId="0"/>
    <cellStyle name="Normal 2 2" xfId="3"/>
    <cellStyle name="Normal 2 2 2" xfId="12"/>
    <cellStyle name="Normal 2 2 3" xfId="15"/>
    <cellStyle name="Normal 2 3" xfId="10"/>
    <cellStyle name="Normal 5 2" xfId="7"/>
    <cellStyle name="Normal 6" xfId="9"/>
    <cellStyle name="Per cent 2" xfId="5"/>
    <cellStyle name="Per cent 2 2" xfId="17"/>
    <cellStyle name="Percent" xfId="2" builtinId="5"/>
    <cellStyle name="Percent 5" xfId="13"/>
  </cellStyles>
  <dxfs count="4">
    <dxf>
      <font>
        <color rgb="FF00B050"/>
      </font>
    </dxf>
    <dxf>
      <font>
        <color rgb="FFFF0000"/>
      </font>
    </dxf>
    <dxf>
      <font>
        <color rgb="FF00B050"/>
      </font>
    </dxf>
    <dxf>
      <font>
        <color rgb="FFFF0000"/>
      </font>
    </dxf>
  </dxfs>
  <tableStyles count="0" defaultTableStyle="TableStyleMedium2" defaultPivotStyle="PivotStyleLight16"/>
  <colors>
    <mruColors>
      <color rgb="FF29276D"/>
      <color rgb="FF3A1282"/>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a:solidFill>
                  <a:schemeClr val="tx1">
                    <a:lumMod val="85000"/>
                    <a:lumOff val="15000"/>
                  </a:schemeClr>
                </a:solidFill>
              </a:rPr>
              <a:t>Valuation Summary</a:t>
            </a:r>
          </a:p>
        </c:rich>
      </c:tx>
      <c:layout>
        <c:manualLayout>
          <c:xMode val="edge"/>
          <c:yMode val="edge"/>
          <c:x val="0.28449300087489066"/>
          <c:y val="2.35110249714351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manualLayout>
          <c:layoutTarget val="inner"/>
          <c:xMode val="edge"/>
          <c:yMode val="edge"/>
          <c:x val="0.10092825896762905"/>
          <c:y val="0.15825074641507433"/>
          <c:w val="0.87129396325459318"/>
          <c:h val="0.7427699281150294"/>
        </c:manualLayout>
      </c:layout>
      <c:stockChart>
        <c:ser>
          <c:idx val="0"/>
          <c:order val="0"/>
          <c:spPr>
            <a:ln w="19050" cap="rnd">
              <a:noFill/>
              <a:round/>
            </a:ln>
            <a:effectLst/>
          </c:spPr>
          <c:marker>
            <c:symbol val="none"/>
          </c:marker>
          <c:dLbls>
            <c:delete val="1"/>
          </c:dLbls>
          <c:cat>
            <c:strRef>
              <c:f>Summary!$H$6:$K$6</c:f>
              <c:strCache>
                <c:ptCount val="4"/>
                <c:pt idx="0">
                  <c:v>Comps</c:v>
                </c:pt>
                <c:pt idx="1">
                  <c:v>DCF</c:v>
                </c:pt>
                <c:pt idx="2">
                  <c:v>52-week hi/lo</c:v>
                </c:pt>
                <c:pt idx="3">
                  <c:v>Consensus</c:v>
                </c:pt>
              </c:strCache>
            </c:strRef>
          </c:cat>
          <c:val>
            <c:numRef>
              <c:f>Summary!$H$7:$K$7</c:f>
              <c:numCache>
                <c:formatCode>#,##0</c:formatCode>
                <c:ptCount val="4"/>
                <c:pt idx="0">
                  <c:v>1564.5125773404905</c:v>
                </c:pt>
                <c:pt idx="1">
                  <c:v>1361.2039571521329</c:v>
                </c:pt>
                <c:pt idx="2">
                  <c:v>1744.85</c:v>
                </c:pt>
                <c:pt idx="3">
                  <c:v>2001</c:v>
                </c:pt>
              </c:numCache>
            </c:numRef>
          </c:val>
          <c:smooth val="0"/>
          <c:extLst xmlns:c16r2="http://schemas.microsoft.com/office/drawing/2015/06/chart">
            <c:ext xmlns:c16="http://schemas.microsoft.com/office/drawing/2014/chart" uri="{C3380CC4-5D6E-409C-BE32-E72D297353CC}">
              <c16:uniqueId val="{00000000-BC6D-45DB-9378-43B30F0B4311}"/>
            </c:ext>
          </c:extLst>
        </c:ser>
        <c:ser>
          <c:idx val="1"/>
          <c:order val="1"/>
          <c:spPr>
            <a:ln w="19050" cap="rnd">
              <a:noFill/>
              <a:round/>
            </a:ln>
            <a:effectLst/>
          </c:spPr>
          <c:marker>
            <c:symbol val="none"/>
          </c:marker>
          <c:dLbls>
            <c:dLbl>
              <c:idx val="0"/>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C6D-45DB-9378-43B30F0B4311}"/>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Summary!$H$6:$K$6</c:f>
              <c:strCache>
                <c:ptCount val="4"/>
                <c:pt idx="0">
                  <c:v>Comps</c:v>
                </c:pt>
                <c:pt idx="1">
                  <c:v>DCF</c:v>
                </c:pt>
                <c:pt idx="2">
                  <c:v>52-week hi/lo</c:v>
                </c:pt>
                <c:pt idx="3">
                  <c:v>Consensus</c:v>
                </c:pt>
              </c:strCache>
            </c:strRef>
          </c:cat>
          <c:val>
            <c:numRef>
              <c:f>Summary!$H$8:$K$8</c:f>
              <c:numCache>
                <c:formatCode>#,##0</c:formatCode>
                <c:ptCount val="4"/>
                <c:pt idx="0">
                  <c:v>1564.5125773404905</c:v>
                </c:pt>
                <c:pt idx="1">
                  <c:v>1361.2039571521329</c:v>
                </c:pt>
                <c:pt idx="2">
                  <c:v>1744.85</c:v>
                </c:pt>
                <c:pt idx="3">
                  <c:v>2001</c:v>
                </c:pt>
              </c:numCache>
            </c:numRef>
          </c:val>
          <c:smooth val="0"/>
          <c:extLst xmlns:c16r2="http://schemas.microsoft.com/office/drawing/2015/06/chart">
            <c:ext xmlns:c16="http://schemas.microsoft.com/office/drawing/2014/chart" uri="{C3380CC4-5D6E-409C-BE32-E72D297353CC}">
              <c16:uniqueId val="{00000002-BC6D-45DB-9378-43B30F0B4311}"/>
            </c:ext>
          </c:extLst>
        </c:ser>
        <c:ser>
          <c:idx val="2"/>
          <c:order val="2"/>
          <c:spPr>
            <a:ln w="19050" cap="rnd">
              <a:noFill/>
              <a:round/>
            </a:ln>
            <a:effectLst/>
          </c:spPr>
          <c:marker>
            <c:symbol val="none"/>
          </c:marker>
          <c:dLbls>
            <c:delete val="1"/>
          </c:dLbls>
          <c:cat>
            <c:strRef>
              <c:f>Summary!$H$6:$K$6</c:f>
              <c:strCache>
                <c:ptCount val="4"/>
                <c:pt idx="0">
                  <c:v>Comps</c:v>
                </c:pt>
                <c:pt idx="1">
                  <c:v>DCF</c:v>
                </c:pt>
                <c:pt idx="2">
                  <c:v>52-week hi/lo</c:v>
                </c:pt>
                <c:pt idx="3">
                  <c:v>Consensus</c:v>
                </c:pt>
              </c:strCache>
            </c:strRef>
          </c:cat>
          <c:val>
            <c:numRef>
              <c:f>Summary!$H$9:$K$9</c:f>
              <c:numCache>
                <c:formatCode>#,##0</c:formatCode>
                <c:ptCount val="4"/>
                <c:pt idx="0">
                  <c:v>647.46216819360188</c:v>
                </c:pt>
                <c:pt idx="1">
                  <c:v>692.81230635439488</c:v>
                </c:pt>
                <c:pt idx="2">
                  <c:v>351.1</c:v>
                </c:pt>
                <c:pt idx="3">
                  <c:v>1395</c:v>
                </c:pt>
              </c:numCache>
            </c:numRef>
          </c:val>
          <c:smooth val="0"/>
          <c:extLst xmlns:c16r2="http://schemas.microsoft.com/office/drawing/2015/06/chart">
            <c:ext xmlns:c16="http://schemas.microsoft.com/office/drawing/2014/chart" uri="{C3380CC4-5D6E-409C-BE32-E72D297353CC}">
              <c16:uniqueId val="{00000003-BC6D-45DB-9378-43B30F0B4311}"/>
            </c:ext>
          </c:extLst>
        </c:ser>
        <c:ser>
          <c:idx val="3"/>
          <c:order val="3"/>
          <c:spPr>
            <a:ln w="19050" cap="rnd">
              <a:noFill/>
              <a:round/>
            </a:ln>
            <a:effectLst/>
          </c:spPr>
          <c:marker>
            <c:symbol val="none"/>
          </c:marker>
          <c:dLbls>
            <c:dLbl>
              <c:idx val="0"/>
              <c:dLblPos val="b"/>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BC6D-45DB-9378-43B30F0B4311}"/>
                </c:ext>
                <c:ext xmlns:c15="http://schemas.microsoft.com/office/drawing/2012/chart" uri="{CE6537A1-D6FC-4f65-9D91-7224C49458BB}"/>
              </c:extLst>
            </c:dLbl>
            <c:dLbl>
              <c:idx val="1"/>
              <c:dLblPos val="b"/>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BC6D-45DB-9378-43B30F0B4311}"/>
                </c:ext>
                <c:ext xmlns:c15="http://schemas.microsoft.com/office/drawing/2012/chart" uri="{CE6537A1-D6FC-4f65-9D91-7224C49458BB}"/>
              </c:extLst>
            </c:dLbl>
            <c:dLbl>
              <c:idx val="2"/>
              <c:dLblPos val="b"/>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BC6D-45DB-9378-43B30F0B4311}"/>
                </c:ext>
                <c:ext xmlns:c15="http://schemas.microsoft.com/office/drawing/2012/chart" uri="{CE6537A1-D6FC-4f65-9D91-7224C49458BB}"/>
              </c:extLst>
            </c:dLbl>
            <c:dLbl>
              <c:idx val="3"/>
              <c:dLblPos val="b"/>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BC6D-45DB-9378-43B30F0B4311}"/>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Summary!$H$6:$K$6</c:f>
              <c:strCache>
                <c:ptCount val="4"/>
                <c:pt idx="0">
                  <c:v>Comps</c:v>
                </c:pt>
                <c:pt idx="1">
                  <c:v>DCF</c:v>
                </c:pt>
                <c:pt idx="2">
                  <c:v>52-week hi/lo</c:v>
                </c:pt>
                <c:pt idx="3">
                  <c:v>Consensus</c:v>
                </c:pt>
              </c:strCache>
            </c:strRef>
          </c:cat>
          <c:val>
            <c:numRef>
              <c:f>Summary!$H$10:$K$10</c:f>
              <c:numCache>
                <c:formatCode>#,##0</c:formatCode>
                <c:ptCount val="4"/>
                <c:pt idx="0">
                  <c:v>647.46216819360188</c:v>
                </c:pt>
                <c:pt idx="1">
                  <c:v>692.81230635439488</c:v>
                </c:pt>
                <c:pt idx="2">
                  <c:v>351.1</c:v>
                </c:pt>
                <c:pt idx="3">
                  <c:v>1395</c:v>
                </c:pt>
              </c:numCache>
            </c:numRef>
          </c:val>
          <c:smooth val="0"/>
          <c:extLst xmlns:c16r2="http://schemas.microsoft.com/office/drawing/2015/06/chart">
            <c:ext xmlns:c16="http://schemas.microsoft.com/office/drawing/2014/chart" uri="{C3380CC4-5D6E-409C-BE32-E72D297353CC}">
              <c16:uniqueId val="{00000008-BC6D-45DB-9378-43B30F0B4311}"/>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7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295994344"/>
        <c:axId val="295995128"/>
      </c:stockChart>
      <c:catAx>
        <c:axId val="295994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95128"/>
        <c:crosses val="autoZero"/>
        <c:auto val="1"/>
        <c:lblAlgn val="ctr"/>
        <c:lblOffset val="100"/>
        <c:noMultiLvlLbl val="0"/>
      </c:catAx>
      <c:valAx>
        <c:axId val="295995128"/>
        <c:scaling>
          <c:orientation val="minMax"/>
          <c:max val="1500"/>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94344"/>
        <c:crosses val="autoZero"/>
        <c:crossBetween val="between"/>
        <c:majorUnit val="2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211929</xdr:colOff>
      <xdr:row>0</xdr:row>
      <xdr:rowOff>126345</xdr:rowOff>
    </xdr:from>
    <xdr:to>
      <xdr:col>12</xdr:col>
      <xdr:colOff>395745</xdr:colOff>
      <xdr:row>6</xdr:row>
      <xdr:rowOff>46970</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4897199" y="126345"/>
          <a:ext cx="2655168" cy="1546740"/>
        </a:xfrm>
        <a:prstGeom prst="rect">
          <a:avLst/>
        </a:prstGeom>
        <a:solidFill>
          <a:srgbClr val="FFFFFF">
            <a:shade val="85000"/>
          </a:srgbClr>
        </a:solidFill>
        <a:ln w="190500" cap="sq">
          <a:solidFill>
            <a:srgbClr val="FFFFFF"/>
          </a:solidFill>
          <a:miter lim="800000"/>
        </a:ln>
        <a:effectLst>
          <a:glow rad="63500">
            <a:schemeClr val="accent3">
              <a:satMod val="175000"/>
              <a:alpha val="40000"/>
            </a:schemeClr>
          </a:glow>
          <a:outerShdw blurRad="50800" dist="38100" dir="8100000" algn="tr" rotWithShape="0">
            <a:prstClr val="black">
              <a:alpha val="40000"/>
            </a:prstClr>
          </a:outerShdw>
          <a:reflection blurRad="6350" stA="50000" endA="300" endPos="55000" dir="5400000" sy="-100000" algn="bl" rotWithShape="0"/>
        </a:effectLst>
        <a:scene3d>
          <a:camera prst="orthographicFront"/>
          <a:lightRig rig="twoPt" dir="t">
            <a:rot lat="0" lon="0" rev="7200000"/>
          </a:lightRig>
        </a:scene3d>
        <a:sp3d>
          <a:bevelT w="25400" h="19050" prst="riblet"/>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219808</xdr:colOff>
      <xdr:row>0</xdr:row>
      <xdr:rowOff>0</xdr:rowOff>
    </xdr:from>
    <xdr:to>
      <xdr:col>16</xdr:col>
      <xdr:colOff>138118</xdr:colOff>
      <xdr:row>20</xdr:row>
      <xdr:rowOff>168499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30577" y="0"/>
          <a:ext cx="7458935" cy="57613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89136</xdr:colOff>
      <xdr:row>0</xdr:row>
      <xdr:rowOff>106929</xdr:rowOff>
    </xdr:from>
    <xdr:to>
      <xdr:col>7</xdr:col>
      <xdr:colOff>567413</xdr:colOff>
      <xdr:row>1</xdr:row>
      <xdr:rowOff>230940</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28504" y="106929"/>
          <a:ext cx="1086540" cy="57185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oneCellAnchor>
    <xdr:from>
      <xdr:col>6</xdr:col>
      <xdr:colOff>89136</xdr:colOff>
      <xdr:row>0</xdr:row>
      <xdr:rowOff>106929</xdr:rowOff>
    </xdr:from>
    <xdr:ext cx="1086540" cy="571853"/>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2189" y="106929"/>
          <a:ext cx="1086540" cy="57185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77885</xdr:colOff>
      <xdr:row>12</xdr:row>
      <xdr:rowOff>54571</xdr:rowOff>
    </xdr:from>
    <xdr:to>
      <xdr:col>7</xdr:col>
      <xdr:colOff>61018</xdr:colOff>
      <xdr:row>28</xdr:row>
      <xdr:rowOff>94257</xdr:rowOff>
    </xdr:to>
    <xdr:graphicFrame macro="">
      <xdr:nvGraphicFramePr>
        <xdr:cNvPr id="3" name="Chart 2">
          <a:extLst>
            <a:ext uri="{FF2B5EF4-FFF2-40B4-BE49-F238E27FC236}">
              <a16:creationId xmlns:a16="http://schemas.microsoft.com/office/drawing/2014/main" xmlns=""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453251</xdr:colOff>
      <xdr:row>15</xdr:row>
      <xdr:rowOff>39437</xdr:rowOff>
    </xdr:from>
    <xdr:to>
      <xdr:col>6</xdr:col>
      <xdr:colOff>358993</xdr:colOff>
      <xdr:row>15</xdr:row>
      <xdr:rowOff>64241</xdr:rowOff>
    </xdr:to>
    <xdr:cxnSp macro="">
      <xdr:nvCxnSpPr>
        <xdr:cNvPr id="5" name="Straight Connector 4">
          <a:extLst>
            <a:ext uri="{FF2B5EF4-FFF2-40B4-BE49-F238E27FC236}">
              <a16:creationId xmlns:a16="http://schemas.microsoft.com/office/drawing/2014/main" xmlns="" id="{00000000-0008-0000-0B00-000005000000}"/>
            </a:ext>
          </a:extLst>
        </xdr:cNvPr>
        <xdr:cNvCxnSpPr/>
      </xdr:nvCxnSpPr>
      <xdr:spPr>
        <a:xfrm>
          <a:off x="453251" y="3682669"/>
          <a:ext cx="4062106" cy="24804"/>
        </a:xfrm>
        <a:prstGeom prst="line">
          <a:avLst/>
        </a:prstGeom>
        <a:ln>
          <a:solidFill>
            <a:srgbClr val="FF0000"/>
          </a:solidFill>
          <a:prstDash val="sysDash"/>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63500</xdr:colOff>
      <xdr:row>9</xdr:row>
      <xdr:rowOff>82550</xdr:rowOff>
    </xdr:from>
    <xdr:to>
      <xdr:col>15</xdr:col>
      <xdr:colOff>412750</xdr:colOff>
      <xdr:row>9</xdr:row>
      <xdr:rowOff>101600</xdr:rowOff>
    </xdr:to>
    <xdr:cxnSp macro="">
      <xdr:nvCxnSpPr>
        <xdr:cNvPr id="3" name="Straight Connector 2"/>
        <xdr:cNvCxnSpPr/>
      </xdr:nvCxnSpPr>
      <xdr:spPr>
        <a:xfrm flipV="1">
          <a:off x="317500" y="2076450"/>
          <a:ext cx="11512550"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6</xdr:col>
      <xdr:colOff>69963</xdr:colOff>
      <xdr:row>10</xdr:row>
      <xdr:rowOff>66502</xdr:rowOff>
    </xdr:from>
    <xdr:to>
      <xdr:col>11</xdr:col>
      <xdr:colOff>635000</xdr:colOff>
      <xdr:row>23</xdr:row>
      <xdr:rowOff>95250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14963" y="2244552"/>
          <a:ext cx="3593987" cy="2422698"/>
        </a:xfrm>
        <a:prstGeom prst="rect">
          <a:avLst/>
        </a:prstGeom>
      </xdr:spPr>
    </xdr:pic>
    <xdr:clientData/>
  </xdr:twoCellAnchor>
  <xdr:twoCellAnchor editAs="oneCell">
    <xdr:from>
      <xdr:col>11</xdr:col>
      <xdr:colOff>565150</xdr:colOff>
      <xdr:row>9</xdr:row>
      <xdr:rowOff>165099</xdr:rowOff>
    </xdr:from>
    <xdr:to>
      <xdr:col>18</xdr:col>
      <xdr:colOff>6350</xdr:colOff>
      <xdr:row>22</xdr:row>
      <xdr:rowOff>139700</xdr:rowOff>
    </xdr:to>
    <xdr:pic>
      <xdr:nvPicPr>
        <xdr:cNvPr id="9" name="Picture 8"/>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39100" y="2158999"/>
          <a:ext cx="3879850" cy="2368551"/>
        </a:xfrm>
        <a:prstGeom prst="rect">
          <a:avLst/>
        </a:prstGeom>
      </xdr:spPr>
    </xdr:pic>
    <xdr:clientData/>
  </xdr:twoCellAnchor>
  <xdr:twoCellAnchor editAs="oneCell">
    <xdr:from>
      <xdr:col>1</xdr:col>
      <xdr:colOff>63500</xdr:colOff>
      <xdr:row>9</xdr:row>
      <xdr:rowOff>158750</xdr:rowOff>
    </xdr:from>
    <xdr:to>
      <xdr:col>5</xdr:col>
      <xdr:colOff>374651</xdr:colOff>
      <xdr:row>23</xdr:row>
      <xdr:rowOff>31750</xdr:rowOff>
    </xdr:to>
    <xdr:pic>
      <xdr:nvPicPr>
        <xdr:cNvPr id="10" name="Picture 9"/>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500" y="2152650"/>
          <a:ext cx="4044951" cy="2451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 dockstate="right" visibility="0" width="525"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2D7B7FD-E43E-4723-907A-54B61D5D58F6}">
  <we:reference id="wa200005502" version="1.0.0.13" store="en-US" storeType="OMEX"/>
  <we:alternateReferences>
    <we:reference id="wa200005502" version="1.0.0.13" store="" storeType="OMEX"/>
  </we:alternateReferences>
  <we:properties>
    <we:property name="docId" value="&quot;FoBumiVy0ZJzT-V5pKFLJ&quot;"/>
  </we:properties>
  <we:bindings/>
  <we:snapshot xmlns:r="http://schemas.openxmlformats.org/officeDocument/2006/relationships"/>
  <we:extLst>
    <a:ext xmlns:a="http://schemas.openxmlformats.org/drawingml/2006/main" uri="{D87F86FE-615C-45B5-9D79-34F1136793EB}">
      <we:containsCustomFunctions xmlns=""/>
    </a:ext>
    <a:ext xmlns:a="http://schemas.openxmlformats.org/drawingml/2006/main" uri="{7C84B067-C214-45C3-A712-C9D94CD141B2}">
      <we:customFunctionIdList xmlns="">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6D338399-E5CF-4EA1-B940-453E1BD55D35}">
  <we:reference id="wa200009404" version="1.0.0.8" store="en-US" storeType="OMEX"/>
  <we:alternateReferences>
    <we:reference id="wa200009404" version="1.0.0.8" store="wa200009404" storeType="OMEX"/>
  </we:alternateReferences>
  <we:properties>
    <we:property name="claude.fileId" value="&quot;74342a43-02cc-42f7-b608-cf2462ca0e0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neogenchem.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showGridLines="0" zoomScale="148" zoomScaleNormal="148" workbookViewId="0">
      <selection activeCell="F4" sqref="F4"/>
    </sheetView>
  </sheetViews>
  <sheetFormatPr defaultColWidth="8.81640625" defaultRowHeight="14.5" x14ac:dyDescent="0.35"/>
  <cols>
    <col min="1" max="1" width="5.1796875" customWidth="1"/>
  </cols>
  <sheetData>
    <row r="1" spans="1:13" ht="47" customHeight="1" x14ac:dyDescent="0.8">
      <c r="A1" s="444" t="str">
        <f>'Historical '!C1</f>
        <v>Neogen Chemicals Limited</v>
      </c>
      <c r="B1" s="241"/>
      <c r="C1" s="241"/>
      <c r="D1" s="241"/>
      <c r="E1" s="241"/>
      <c r="F1" s="241"/>
      <c r="G1" s="241"/>
      <c r="H1" s="241"/>
    </row>
    <row r="2" spans="1:13" ht="18.5" x14ac:dyDescent="0.45">
      <c r="A2" s="445" t="s">
        <v>439</v>
      </c>
      <c r="B2" s="440"/>
      <c r="C2" s="440"/>
      <c r="D2" s="241"/>
      <c r="E2" s="241"/>
      <c r="F2" s="241"/>
      <c r="G2" s="241"/>
      <c r="H2" s="241"/>
    </row>
    <row r="4" spans="1:13" ht="18" customHeight="1" x14ac:dyDescent="0.5">
      <c r="A4" s="439"/>
      <c r="B4" s="446" t="s">
        <v>440</v>
      </c>
      <c r="C4" s="439"/>
      <c r="D4" s="439"/>
      <c r="E4" s="439"/>
      <c r="F4" s="439"/>
      <c r="G4" s="439"/>
      <c r="H4" s="439"/>
    </row>
    <row r="6" spans="1:13" ht="15.5" x14ac:dyDescent="0.35">
      <c r="C6" s="448" t="s">
        <v>441</v>
      </c>
      <c r="D6" s="442"/>
      <c r="E6" s="442"/>
    </row>
    <row r="7" spans="1:13" ht="15.5" x14ac:dyDescent="0.35">
      <c r="C7" s="448" t="s">
        <v>242</v>
      </c>
      <c r="D7" s="442"/>
      <c r="E7" s="442"/>
    </row>
    <row r="8" spans="1:13" ht="15.5" x14ac:dyDescent="0.35">
      <c r="C8" s="448" t="s">
        <v>306</v>
      </c>
      <c r="D8" s="442"/>
      <c r="E8" s="442"/>
    </row>
    <row r="9" spans="1:13" ht="15.5" x14ac:dyDescent="0.35">
      <c r="C9" s="448" t="s">
        <v>442</v>
      </c>
      <c r="D9" s="442"/>
      <c r="E9" s="442"/>
    </row>
    <row r="11" spans="1:13" ht="18.5" customHeight="1" x14ac:dyDescent="0.35">
      <c r="A11" s="439"/>
      <c r="B11" s="447" t="s">
        <v>443</v>
      </c>
      <c r="C11" s="439"/>
      <c r="D11" s="439"/>
      <c r="E11" s="439"/>
      <c r="F11" s="439"/>
      <c r="G11" s="439"/>
      <c r="H11" s="439"/>
      <c r="I11" s="439"/>
      <c r="J11" s="439"/>
      <c r="K11" s="439"/>
      <c r="L11" s="439"/>
      <c r="M11" s="439"/>
    </row>
    <row r="12" spans="1:13" x14ac:dyDescent="0.35">
      <c r="C12" s="448" t="s">
        <v>165</v>
      </c>
    </row>
    <row r="13" spans="1:13" x14ac:dyDescent="0.35">
      <c r="C13" s="448" t="s">
        <v>182</v>
      </c>
    </row>
    <row r="14" spans="1:13" x14ac:dyDescent="0.35">
      <c r="C14" s="448" t="s">
        <v>207</v>
      </c>
    </row>
    <row r="15" spans="1:13" x14ac:dyDescent="0.35">
      <c r="C15" s="448" t="s">
        <v>228</v>
      </c>
    </row>
    <row r="16" spans="1:13" x14ac:dyDescent="0.35">
      <c r="C16" s="448" t="s">
        <v>231</v>
      </c>
    </row>
    <row r="17" spans="1:13" x14ac:dyDescent="0.35">
      <c r="C17" s="448" t="s">
        <v>444</v>
      </c>
    </row>
    <row r="18" spans="1:13" x14ac:dyDescent="0.35">
      <c r="C18" s="448" t="s">
        <v>359</v>
      </c>
    </row>
    <row r="19" spans="1:13" x14ac:dyDescent="0.35">
      <c r="C19" s="448" t="s">
        <v>344</v>
      </c>
    </row>
    <row r="20" spans="1:13" x14ac:dyDescent="0.35">
      <c r="C20" s="448" t="s">
        <v>445</v>
      </c>
    </row>
    <row r="22" spans="1:13" ht="15.5" x14ac:dyDescent="0.35">
      <c r="A22" s="439"/>
      <c r="B22" s="447" t="s">
        <v>446</v>
      </c>
      <c r="C22" s="439"/>
      <c r="D22" s="439"/>
      <c r="E22" s="439"/>
      <c r="F22" s="439"/>
      <c r="G22" s="439"/>
      <c r="H22" s="439"/>
      <c r="I22" s="439"/>
      <c r="J22" s="439"/>
      <c r="K22" s="439"/>
      <c r="L22" s="439"/>
      <c r="M22" s="439"/>
    </row>
    <row r="23" spans="1:13" x14ac:dyDescent="0.35">
      <c r="C23" s="448" t="s">
        <v>241</v>
      </c>
    </row>
    <row r="24" spans="1:13" x14ac:dyDescent="0.35">
      <c r="C24" s="448" t="s">
        <v>402</v>
      </c>
    </row>
    <row r="25" spans="1:13" x14ac:dyDescent="0.35">
      <c r="C25" s="448" t="s">
        <v>447</v>
      </c>
    </row>
    <row r="26" spans="1:13" x14ac:dyDescent="0.35">
      <c r="C26" s="448" t="s">
        <v>448</v>
      </c>
    </row>
  </sheetData>
  <hyperlinks>
    <hyperlink ref="C6" location="'Historical '!A1" display="Historical Financial Statement"/>
    <hyperlink ref="C7" location="Assumptions!A1" display="Assumptions"/>
    <hyperlink ref="C8" location="'Market Data'!A1" display="Market Data"/>
    <hyperlink ref="C9" location="Model!A1" display="Revenue &amp; Cost buildup"/>
    <hyperlink ref="C12" location="Model!A22" display="Income Statement"/>
    <hyperlink ref="C13" location="Model!A39" display="Balance Sheet"/>
    <hyperlink ref="C14" location="Index!A71" display="Cash Flow Statement"/>
    <hyperlink ref="C15" location="Model!A103" display="Working Capital"/>
    <hyperlink ref="C16" location="Model!A110" display="Depreciation Schedule"/>
    <hyperlink ref="C17" location="Model!A117" display="Debt Schedule"/>
    <hyperlink ref="C18" location="WACC!A1" display="WACC"/>
    <hyperlink ref="C19" location="Beta!A1" display="Beta"/>
    <hyperlink ref="C20" location="Model!B166" display="Sensitivity Analysis"/>
    <hyperlink ref="C23" location="Model!A124" display="DCF Model"/>
    <hyperlink ref="C24" location="'Ratio Analysis'!A1" display="Ratio Analysis"/>
    <hyperlink ref="C25" location="Comp!A1" display="Comparables Analysis"/>
    <hyperlink ref="C26" location="Summary!A1" display="Valuation Summary"/>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50"/>
  <sheetViews>
    <sheetView showGridLines="0" zoomScale="104" zoomScaleNormal="104" workbookViewId="0">
      <selection activeCell="D36" sqref="D36:H36"/>
    </sheetView>
  </sheetViews>
  <sheetFormatPr defaultColWidth="8.81640625" defaultRowHeight="14.5" x14ac:dyDescent="0.35"/>
  <cols>
    <col min="1" max="1" width="2.6328125" customWidth="1"/>
    <col min="2" max="2" width="34.81640625" customWidth="1"/>
    <col min="3" max="3" width="17.453125" customWidth="1"/>
    <col min="4" max="4" width="59.81640625" bestFit="1" customWidth="1"/>
    <col min="8" max="8" width="10.81640625" customWidth="1"/>
  </cols>
  <sheetData>
    <row r="1" spans="2:4" ht="32" x14ac:dyDescent="0.7">
      <c r="B1" s="161" t="str">
        <f>Scenarios!A1</f>
        <v>Neogen Chemicals Limited</v>
      </c>
      <c r="C1" s="161"/>
      <c r="D1" s="23"/>
    </row>
    <row r="2" spans="2:4" x14ac:dyDescent="0.35">
      <c r="B2" s="23"/>
      <c r="C2" s="23"/>
      <c r="D2" s="23"/>
    </row>
    <row r="3" spans="2:4" ht="15.5" x14ac:dyDescent="0.35">
      <c r="B3" s="24" t="s">
        <v>242</v>
      </c>
      <c r="C3" s="24"/>
      <c r="D3" s="23"/>
    </row>
    <row r="4" spans="2:4" x14ac:dyDescent="0.35">
      <c r="B4" s="306"/>
      <c r="C4" s="306"/>
      <c r="D4" s="334"/>
    </row>
    <row r="5" spans="2:4" x14ac:dyDescent="0.35">
      <c r="B5" s="335" t="s">
        <v>363</v>
      </c>
      <c r="C5" s="342"/>
      <c r="D5" s="376" t="s">
        <v>380</v>
      </c>
    </row>
    <row r="6" spans="2:4" x14ac:dyDescent="0.35">
      <c r="B6" s="335" t="s">
        <v>364</v>
      </c>
      <c r="C6" s="342"/>
      <c r="D6" s="336" t="s">
        <v>381</v>
      </c>
    </row>
    <row r="7" spans="2:4" x14ac:dyDescent="0.35">
      <c r="B7" s="335" t="s">
        <v>365</v>
      </c>
      <c r="C7" s="342"/>
      <c r="D7" s="336" t="s">
        <v>382</v>
      </c>
    </row>
    <row r="8" spans="2:4" x14ac:dyDescent="0.35">
      <c r="B8" s="335" t="s">
        <v>366</v>
      </c>
      <c r="C8" s="342"/>
      <c r="D8" s="336" t="s">
        <v>383</v>
      </c>
    </row>
    <row r="9" spans="2:4" x14ac:dyDescent="0.35">
      <c r="B9" s="335" t="s">
        <v>367</v>
      </c>
      <c r="C9" s="342"/>
      <c r="D9" s="336" t="s">
        <v>384</v>
      </c>
    </row>
    <row r="10" spans="2:4" x14ac:dyDescent="0.35">
      <c r="B10" s="335" t="s">
        <v>368</v>
      </c>
      <c r="C10" s="342"/>
      <c r="D10" s="410" t="s">
        <v>385</v>
      </c>
    </row>
    <row r="11" spans="2:4" ht="147.5" customHeight="1" x14ac:dyDescent="0.35">
      <c r="B11" s="341" t="s">
        <v>363</v>
      </c>
      <c r="C11" s="343"/>
      <c r="D11" s="377" t="s">
        <v>379</v>
      </c>
    </row>
    <row r="12" spans="2:4" x14ac:dyDescent="0.35">
      <c r="B12" s="335" t="s">
        <v>369</v>
      </c>
      <c r="C12" s="342"/>
      <c r="D12" s="337">
        <v>1669.3</v>
      </c>
    </row>
    <row r="14" spans="2:4" x14ac:dyDescent="0.35">
      <c r="B14" s="551" t="s">
        <v>370</v>
      </c>
      <c r="C14" s="551"/>
      <c r="D14" s="551"/>
    </row>
    <row r="15" spans="2:4" x14ac:dyDescent="0.35">
      <c r="B15" s="307" t="s">
        <v>392</v>
      </c>
      <c r="C15" s="308"/>
      <c r="D15" s="309" t="s">
        <v>371</v>
      </c>
    </row>
    <row r="16" spans="2:4" x14ac:dyDescent="0.35">
      <c r="B16" s="310" t="s">
        <v>372</v>
      </c>
      <c r="C16" s="306" t="s">
        <v>463</v>
      </c>
      <c r="D16" s="390">
        <v>26381674</v>
      </c>
    </row>
    <row r="17" spans="2:8" x14ac:dyDescent="0.35">
      <c r="B17" s="310" t="s">
        <v>373</v>
      </c>
      <c r="C17" s="306" t="s">
        <v>374</v>
      </c>
      <c r="D17" s="311">
        <v>10</v>
      </c>
    </row>
    <row r="18" spans="2:8" x14ac:dyDescent="0.35">
      <c r="B18" s="310" t="s">
        <v>369</v>
      </c>
      <c r="C18" s="306" t="s">
        <v>374</v>
      </c>
      <c r="D18" s="311">
        <f>D12</f>
        <v>1669.3</v>
      </c>
    </row>
    <row r="19" spans="2:8" x14ac:dyDescent="0.35">
      <c r="B19" s="312" t="s">
        <v>375</v>
      </c>
      <c r="C19" s="313" t="s">
        <v>464</v>
      </c>
      <c r="D19" s="408">
        <f>D16*D18</f>
        <v>44038928408.199997</v>
      </c>
    </row>
    <row r="20" spans="2:8" x14ac:dyDescent="0.35">
      <c r="B20" s="145"/>
      <c r="C20" s="145"/>
      <c r="D20" s="314"/>
    </row>
    <row r="21" spans="2:8" x14ac:dyDescent="0.35">
      <c r="B21" s="145"/>
      <c r="C21" s="145"/>
      <c r="D21" s="145"/>
    </row>
    <row r="22" spans="2:8" x14ac:dyDescent="0.35">
      <c r="B22" s="551" t="s">
        <v>376</v>
      </c>
      <c r="C22" s="551"/>
      <c r="D22" s="551"/>
    </row>
    <row r="23" spans="2:8" x14ac:dyDescent="0.35">
      <c r="B23" s="315" t="s">
        <v>377</v>
      </c>
      <c r="C23" s="338"/>
      <c r="D23" s="320" t="s">
        <v>465</v>
      </c>
    </row>
    <row r="24" spans="2:8" x14ac:dyDescent="0.35">
      <c r="B24" s="316">
        <v>2021</v>
      </c>
      <c r="C24" s="339"/>
      <c r="D24" s="317">
        <f>Model!H24</f>
        <v>336.41</v>
      </c>
    </row>
    <row r="25" spans="2:8" x14ac:dyDescent="0.35">
      <c r="B25" s="316">
        <f>B24+1</f>
        <v>2022</v>
      </c>
      <c r="C25" s="339"/>
      <c r="D25" s="317">
        <f>Model!I24</f>
        <v>487.25</v>
      </c>
    </row>
    <row r="26" spans="2:8" x14ac:dyDescent="0.35">
      <c r="B26" s="316">
        <f>B25+1</f>
        <v>2023</v>
      </c>
      <c r="C26" s="339"/>
      <c r="D26" s="317">
        <f>Model!J24</f>
        <v>686.18</v>
      </c>
    </row>
    <row r="27" spans="2:8" x14ac:dyDescent="0.35">
      <c r="B27" s="316">
        <f>B26+1</f>
        <v>2024</v>
      </c>
      <c r="C27" s="339"/>
      <c r="D27" s="317">
        <f>Model!K24</f>
        <v>690.67</v>
      </c>
    </row>
    <row r="28" spans="2:8" x14ac:dyDescent="0.35">
      <c r="B28" s="318">
        <f>B27+1</f>
        <v>2025</v>
      </c>
      <c r="C28" s="340"/>
      <c r="D28" s="319">
        <f>Model!L24</f>
        <v>777.56</v>
      </c>
    </row>
    <row r="30" spans="2:8" ht="26.5" customHeight="1" x14ac:dyDescent="0.35">
      <c r="B30" s="321" t="s">
        <v>378</v>
      </c>
      <c r="C30" s="321" t="s">
        <v>467</v>
      </c>
      <c r="D30" s="573" t="s">
        <v>242</v>
      </c>
      <c r="E30" s="573"/>
      <c r="F30" s="573"/>
      <c r="G30" s="573"/>
      <c r="H30" s="573"/>
    </row>
    <row r="31" spans="2:8" ht="78" customHeight="1" x14ac:dyDescent="0.35">
      <c r="B31" s="574" t="s">
        <v>149</v>
      </c>
      <c r="C31" s="510" t="s">
        <v>468</v>
      </c>
      <c r="D31" s="555" t="s">
        <v>496</v>
      </c>
      <c r="E31" s="556"/>
      <c r="F31" s="556"/>
      <c r="G31" s="556"/>
      <c r="H31" s="557"/>
    </row>
    <row r="32" spans="2:8" ht="44.5" customHeight="1" x14ac:dyDescent="0.35">
      <c r="B32" s="575"/>
      <c r="C32" s="511" t="s">
        <v>469</v>
      </c>
      <c r="D32" s="558" t="s">
        <v>470</v>
      </c>
      <c r="E32" s="559"/>
      <c r="F32" s="559"/>
      <c r="G32" s="559"/>
      <c r="H32" s="560"/>
    </row>
    <row r="33" spans="2:8" ht="49.5" customHeight="1" x14ac:dyDescent="0.35">
      <c r="B33" s="575"/>
      <c r="C33" s="510" t="s">
        <v>471</v>
      </c>
      <c r="D33" s="561" t="s">
        <v>482</v>
      </c>
      <c r="E33" s="562"/>
      <c r="F33" s="562"/>
      <c r="G33" s="562"/>
      <c r="H33" s="563"/>
    </row>
    <row r="34" spans="2:8" ht="35" customHeight="1" x14ac:dyDescent="0.35">
      <c r="B34" s="575"/>
      <c r="C34" s="510" t="s">
        <v>472</v>
      </c>
      <c r="D34" s="564" t="s">
        <v>483</v>
      </c>
      <c r="E34" s="565"/>
      <c r="F34" s="565"/>
      <c r="G34" s="565"/>
      <c r="H34" s="566"/>
    </row>
    <row r="35" spans="2:8" ht="34" customHeight="1" x14ac:dyDescent="0.35">
      <c r="B35" s="575"/>
      <c r="C35" s="511" t="s">
        <v>473</v>
      </c>
      <c r="D35" s="577" t="s">
        <v>474</v>
      </c>
      <c r="E35" s="578"/>
      <c r="F35" s="578"/>
      <c r="G35" s="578"/>
      <c r="H35" s="579"/>
    </row>
    <row r="36" spans="2:8" ht="48" customHeight="1" x14ac:dyDescent="0.35">
      <c r="B36" s="575"/>
      <c r="C36" s="512" t="s">
        <v>475</v>
      </c>
      <c r="D36" s="558" t="s">
        <v>492</v>
      </c>
      <c r="E36" s="559"/>
      <c r="F36" s="559"/>
      <c r="G36" s="559"/>
      <c r="H36" s="560"/>
    </row>
    <row r="37" spans="2:8" ht="39.5" customHeight="1" x14ac:dyDescent="0.35">
      <c r="B37" s="575"/>
      <c r="C37" s="510" t="s">
        <v>476</v>
      </c>
      <c r="D37" s="564" t="s">
        <v>484</v>
      </c>
      <c r="E37" s="565"/>
      <c r="F37" s="565"/>
      <c r="G37" s="565"/>
      <c r="H37" s="566"/>
    </row>
    <row r="38" spans="2:8" ht="43.5" customHeight="1" x14ac:dyDescent="0.35">
      <c r="B38" s="575"/>
      <c r="C38" s="510" t="s">
        <v>477</v>
      </c>
      <c r="D38" s="564" t="s">
        <v>478</v>
      </c>
      <c r="E38" s="565"/>
      <c r="F38" s="565"/>
      <c r="G38" s="565"/>
      <c r="H38" s="566"/>
    </row>
    <row r="39" spans="2:8" ht="59" customHeight="1" x14ac:dyDescent="0.35">
      <c r="B39" s="576"/>
      <c r="C39" s="512" t="s">
        <v>479</v>
      </c>
      <c r="D39" s="558" t="s">
        <v>491</v>
      </c>
      <c r="E39" s="559"/>
      <c r="F39" s="559"/>
      <c r="G39" s="559"/>
      <c r="H39" s="560"/>
    </row>
    <row r="40" spans="2:8" ht="29.5" customHeight="1" x14ac:dyDescent="0.35">
      <c r="B40" s="567" t="s">
        <v>182</v>
      </c>
      <c r="C40" s="513" t="s">
        <v>486</v>
      </c>
      <c r="D40" s="564" t="s">
        <v>399</v>
      </c>
      <c r="E40" s="565"/>
      <c r="F40" s="565"/>
      <c r="G40" s="565"/>
      <c r="H40" s="566"/>
    </row>
    <row r="41" spans="2:8" ht="63.5" customHeight="1" x14ac:dyDescent="0.35">
      <c r="B41" s="568"/>
      <c r="C41" s="513" t="s">
        <v>487</v>
      </c>
      <c r="D41" s="561" t="s">
        <v>485</v>
      </c>
      <c r="E41" s="562"/>
      <c r="F41" s="562"/>
      <c r="G41" s="562"/>
      <c r="H41" s="563"/>
    </row>
    <row r="42" spans="2:8" ht="85" customHeight="1" x14ac:dyDescent="0.35">
      <c r="B42" s="569"/>
      <c r="C42" s="514" t="s">
        <v>488</v>
      </c>
      <c r="D42" s="570" t="s">
        <v>400</v>
      </c>
      <c r="E42" s="571"/>
      <c r="F42" s="571"/>
      <c r="G42" s="571"/>
      <c r="H42" s="572"/>
    </row>
    <row r="43" spans="2:8" ht="59.5" customHeight="1" x14ac:dyDescent="0.35">
      <c r="B43" s="515" t="s">
        <v>202</v>
      </c>
      <c r="C43" s="514" t="s">
        <v>489</v>
      </c>
      <c r="D43" s="555" t="s">
        <v>490</v>
      </c>
      <c r="E43" s="556"/>
      <c r="F43" s="556"/>
      <c r="G43" s="556"/>
      <c r="H43" s="557"/>
    </row>
    <row r="44" spans="2:8" ht="37.5" customHeight="1" x14ac:dyDescent="0.35">
      <c r="B44" s="514" t="s">
        <v>227</v>
      </c>
      <c r="C44" s="516" t="s">
        <v>480</v>
      </c>
      <c r="D44" s="552" t="s">
        <v>481</v>
      </c>
      <c r="E44" s="553"/>
      <c r="F44" s="553"/>
      <c r="G44" s="553"/>
      <c r="H44" s="554"/>
    </row>
    <row r="45" spans="2:8" ht="30" customHeight="1" x14ac:dyDescent="0.35">
      <c r="B45" s="509"/>
    </row>
    <row r="46" spans="2:8" ht="33.5" customHeight="1" x14ac:dyDescent="0.35">
      <c r="B46" s="509"/>
    </row>
    <row r="47" spans="2:8" ht="26" customHeight="1" x14ac:dyDescent="0.35">
      <c r="B47" s="509"/>
    </row>
    <row r="48" spans="2:8" ht="30" customHeight="1" x14ac:dyDescent="0.35">
      <c r="B48" s="509"/>
    </row>
    <row r="49" spans="2:8" x14ac:dyDescent="0.35">
      <c r="B49" s="509"/>
      <c r="C49" s="508"/>
      <c r="D49" s="508"/>
      <c r="E49" s="508"/>
      <c r="F49" s="508"/>
      <c r="G49" s="508"/>
      <c r="H49" s="508"/>
    </row>
    <row r="50" spans="2:8" x14ac:dyDescent="0.35">
      <c r="B50" s="400"/>
      <c r="C50" s="550"/>
      <c r="D50" s="550"/>
      <c r="E50" s="550"/>
      <c r="F50" s="550"/>
      <c r="G50" s="550"/>
      <c r="H50" s="550"/>
    </row>
  </sheetData>
  <mergeCells count="20">
    <mergeCell ref="D36:H36"/>
    <mergeCell ref="D37:H37"/>
    <mergeCell ref="D38:H38"/>
    <mergeCell ref="D39:H39"/>
    <mergeCell ref="C50:H50"/>
    <mergeCell ref="B14:D14"/>
    <mergeCell ref="B22:D22"/>
    <mergeCell ref="D44:H44"/>
    <mergeCell ref="D31:H31"/>
    <mergeCell ref="D32:H32"/>
    <mergeCell ref="D33:H33"/>
    <mergeCell ref="D34:H34"/>
    <mergeCell ref="B40:B42"/>
    <mergeCell ref="D40:H40"/>
    <mergeCell ref="D41:H41"/>
    <mergeCell ref="D42:H42"/>
    <mergeCell ref="D43:H43"/>
    <mergeCell ref="D30:H30"/>
    <mergeCell ref="B31:B39"/>
    <mergeCell ref="D35:H35"/>
  </mergeCells>
  <hyperlinks>
    <hyperlink ref="D10" r:id="rId1"/>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61"/>
  <sheetViews>
    <sheetView showGridLines="0" tabSelected="1" topLeftCell="B1" zoomScale="110" zoomScaleNormal="95" workbookViewId="0">
      <pane xSplit="7" ySplit="4" topLeftCell="I5" activePane="bottomRight" state="frozen"/>
      <selection activeCell="B1" sqref="B1"/>
      <selection pane="topRight" activeCell="H1" sqref="H1"/>
      <selection pane="bottomLeft" activeCell="B5" sqref="B5"/>
      <selection pane="bottomRight" activeCell="H11" sqref="H11"/>
    </sheetView>
  </sheetViews>
  <sheetFormatPr defaultColWidth="8.81640625" defaultRowHeight="14.5" x14ac:dyDescent="0.35"/>
  <cols>
    <col min="1" max="1" width="1.6328125" customWidth="1"/>
    <col min="2" max="2" width="1.81640625" customWidth="1"/>
    <col min="3" max="4" width="2.1796875" customWidth="1"/>
    <col min="5" max="5" width="2.453125" customWidth="1"/>
    <col min="6" max="6" width="60.6328125" customWidth="1"/>
    <col min="8" max="8" width="15.81640625" customWidth="1"/>
    <col min="9" max="9" width="2.81640625" customWidth="1"/>
    <col min="10" max="14" width="10.1796875" customWidth="1"/>
    <col min="15" max="16" width="8.6328125" customWidth="1"/>
    <col min="24" max="24" width="12.36328125" customWidth="1"/>
  </cols>
  <sheetData>
    <row r="1" spans="1:15" ht="35.5" x14ac:dyDescent="0.75">
      <c r="A1" s="34"/>
      <c r="B1" s="34"/>
      <c r="C1" s="22" t="str">
        <f>Assumptions!D5</f>
        <v>Neogen Chemicals Limited</v>
      </c>
      <c r="D1" s="22"/>
      <c r="E1" s="23"/>
      <c r="F1" s="23"/>
      <c r="G1" s="23"/>
      <c r="H1" s="23"/>
      <c r="I1" s="23"/>
      <c r="J1" s="23"/>
      <c r="K1" s="23"/>
      <c r="L1" s="23"/>
      <c r="M1" s="23"/>
      <c r="N1" s="23"/>
      <c r="O1" s="34"/>
    </row>
    <row r="2" spans="1:15" ht="23" customHeight="1" x14ac:dyDescent="0.35">
      <c r="A2" s="34"/>
      <c r="B2" s="34"/>
      <c r="C2" s="24" t="s">
        <v>0</v>
      </c>
      <c r="D2" s="24"/>
      <c r="E2" s="23"/>
      <c r="F2" s="23"/>
      <c r="G2" s="23"/>
      <c r="H2" s="23"/>
      <c r="I2" s="23"/>
      <c r="J2" s="23"/>
      <c r="K2" s="23"/>
      <c r="L2" s="23"/>
      <c r="M2" s="23"/>
      <c r="N2" s="95" t="s">
        <v>85</v>
      </c>
      <c r="O2" s="34"/>
    </row>
    <row r="3" spans="1:15" ht="16" x14ac:dyDescent="0.4">
      <c r="A3" s="2"/>
      <c r="B3" s="2"/>
      <c r="C3" s="1" t="s">
        <v>1</v>
      </c>
      <c r="D3" s="1"/>
      <c r="E3" s="1"/>
      <c r="F3" s="1"/>
      <c r="G3" s="1"/>
      <c r="H3" s="1"/>
      <c r="I3" s="1"/>
      <c r="J3" s="1"/>
      <c r="K3" s="1"/>
      <c r="L3" s="1"/>
      <c r="M3" s="1"/>
      <c r="N3" s="91"/>
      <c r="O3" s="88"/>
    </row>
    <row r="4" spans="1:15" x14ac:dyDescent="0.35">
      <c r="A4" s="36" t="s">
        <v>25</v>
      </c>
      <c r="B4" s="19" t="s">
        <v>25</v>
      </c>
      <c r="C4" s="3" t="s">
        <v>2</v>
      </c>
      <c r="D4" s="3"/>
      <c r="E4" s="4"/>
      <c r="F4" s="4"/>
      <c r="G4" s="4"/>
      <c r="H4" s="4"/>
      <c r="I4" s="4"/>
      <c r="J4" s="6">
        <v>2021</v>
      </c>
      <c r="K4" s="6">
        <f>J4+1</f>
        <v>2022</v>
      </c>
      <c r="L4" s="6">
        <f>K4+1</f>
        <v>2023</v>
      </c>
      <c r="M4" s="6">
        <f>L4+1</f>
        <v>2024</v>
      </c>
      <c r="N4" s="6">
        <f>M4+1</f>
        <v>2025</v>
      </c>
      <c r="O4" s="88"/>
    </row>
    <row r="5" spans="1:15" x14ac:dyDescent="0.35">
      <c r="C5" s="25" t="s">
        <v>6</v>
      </c>
      <c r="D5" s="25"/>
      <c r="I5" s="7"/>
      <c r="J5" s="26"/>
      <c r="K5" s="51"/>
      <c r="L5" s="51"/>
      <c r="M5" s="51"/>
      <c r="N5" s="51"/>
      <c r="O5" s="88"/>
    </row>
    <row r="6" spans="1:15" x14ac:dyDescent="0.35">
      <c r="E6" t="s">
        <v>7</v>
      </c>
      <c r="H6" s="9"/>
      <c r="I6" s="9"/>
      <c r="J6" s="52">
        <v>336.41</v>
      </c>
      <c r="K6" s="31">
        <v>487.25</v>
      </c>
      <c r="L6" s="31">
        <v>686.18</v>
      </c>
      <c r="M6" s="31">
        <v>690.67</v>
      </c>
      <c r="N6" s="31">
        <v>777.56</v>
      </c>
      <c r="O6" s="88"/>
    </row>
    <row r="7" spans="1:15" x14ac:dyDescent="0.35">
      <c r="E7" s="19" t="s">
        <v>3</v>
      </c>
      <c r="F7" s="19"/>
      <c r="G7" s="19"/>
      <c r="H7" s="35"/>
      <c r="I7" s="9"/>
      <c r="J7" s="52">
        <v>0.14000000000000001</v>
      </c>
      <c r="K7" s="31">
        <v>1.07</v>
      </c>
      <c r="L7" s="31">
        <v>4.45</v>
      </c>
      <c r="M7" s="31">
        <v>7.47</v>
      </c>
      <c r="N7" s="31">
        <v>4.01</v>
      </c>
      <c r="O7" s="88"/>
    </row>
    <row r="8" spans="1:15" x14ac:dyDescent="0.35">
      <c r="E8" s="25" t="s">
        <v>8</v>
      </c>
      <c r="F8" s="25"/>
      <c r="G8" s="25"/>
      <c r="I8" s="8"/>
      <c r="J8" s="53">
        <f>SUM(J6:J7)</f>
        <v>336.55</v>
      </c>
      <c r="K8" s="29">
        <f>SUM(K6:K7)</f>
        <v>488.32</v>
      </c>
      <c r="L8" s="29">
        <f>SUM(L6:L7)</f>
        <v>690.63</v>
      </c>
      <c r="M8" s="29">
        <f>SUM(M6:M7)</f>
        <v>698.14</v>
      </c>
      <c r="N8" s="29">
        <f>SUM(N6:N7)</f>
        <v>781.56999999999994</v>
      </c>
      <c r="O8" s="88"/>
    </row>
    <row r="9" spans="1:15" x14ac:dyDescent="0.35">
      <c r="C9" s="25" t="s">
        <v>9</v>
      </c>
      <c r="D9" s="25"/>
      <c r="I9" s="7"/>
      <c r="J9" s="54"/>
      <c r="K9" s="32"/>
      <c r="L9" s="32"/>
      <c r="M9" s="32"/>
      <c r="N9" s="32"/>
      <c r="O9" s="88"/>
    </row>
    <row r="10" spans="1:15" x14ac:dyDescent="0.35">
      <c r="E10" t="s">
        <v>10</v>
      </c>
      <c r="H10" s="9"/>
      <c r="I10" s="9"/>
      <c r="J10" s="52">
        <v>180.76</v>
      </c>
      <c r="K10" s="31">
        <v>343.77</v>
      </c>
      <c r="L10" s="31">
        <v>485.26</v>
      </c>
      <c r="M10" s="31">
        <v>474.59</v>
      </c>
      <c r="N10" s="31">
        <v>506.08</v>
      </c>
      <c r="O10" s="88"/>
    </row>
    <row r="11" spans="1:15" x14ac:dyDescent="0.35">
      <c r="E11" t="s">
        <v>11</v>
      </c>
      <c r="H11" s="9"/>
      <c r="I11" s="9"/>
      <c r="J11" s="52">
        <v>16.87</v>
      </c>
      <c r="K11" s="31">
        <v>-68.8</v>
      </c>
      <c r="L11" s="31">
        <v>-96.75</v>
      </c>
      <c r="M11" s="31">
        <v>-92.1</v>
      </c>
      <c r="N11" s="31">
        <v>-83.02</v>
      </c>
      <c r="O11" s="88"/>
    </row>
    <row r="12" spans="1:15" x14ac:dyDescent="0.35">
      <c r="E12" t="s">
        <v>12</v>
      </c>
      <c r="H12" s="9"/>
      <c r="I12" s="9"/>
      <c r="J12" s="52">
        <v>20.07</v>
      </c>
      <c r="K12" s="31">
        <v>31.5</v>
      </c>
      <c r="L12" s="31">
        <v>46.82</v>
      </c>
      <c r="M12" s="31">
        <v>62</v>
      </c>
      <c r="N12" s="31">
        <v>64.84</v>
      </c>
      <c r="O12" s="88"/>
    </row>
    <row r="13" spans="1:15" x14ac:dyDescent="0.35">
      <c r="E13" t="s">
        <v>13</v>
      </c>
      <c r="H13" s="9"/>
      <c r="I13" s="9"/>
      <c r="J13" s="52">
        <v>13.77</v>
      </c>
      <c r="K13" s="31">
        <v>19.079999999999998</v>
      </c>
      <c r="L13" s="31">
        <v>28.94</v>
      </c>
      <c r="M13" s="31">
        <v>42.06</v>
      </c>
      <c r="N13" s="31">
        <v>48.5</v>
      </c>
      <c r="O13" s="88"/>
    </row>
    <row r="14" spans="1:15" x14ac:dyDescent="0.35">
      <c r="E14" t="s">
        <v>14</v>
      </c>
      <c r="H14" s="9"/>
      <c r="I14" s="9"/>
      <c r="J14" s="52">
        <v>6.9</v>
      </c>
      <c r="K14" s="31">
        <v>11.69</v>
      </c>
      <c r="L14" s="31">
        <v>16.2</v>
      </c>
      <c r="M14" s="31">
        <v>22.87</v>
      </c>
      <c r="N14" s="31">
        <v>27.79</v>
      </c>
      <c r="O14" s="88"/>
    </row>
    <row r="15" spans="1:15" x14ac:dyDescent="0.35">
      <c r="E15" t="s">
        <v>15</v>
      </c>
      <c r="H15" s="9"/>
      <c r="I15" s="9"/>
      <c r="J15" s="52">
        <v>54.35</v>
      </c>
      <c r="K15" s="31">
        <v>94.19</v>
      </c>
      <c r="L15" s="31">
        <v>139.22999999999999</v>
      </c>
      <c r="M15" s="31">
        <v>136.13</v>
      </c>
      <c r="N15" s="31">
        <v>153.34</v>
      </c>
      <c r="O15" s="88"/>
    </row>
    <row r="16" spans="1:15" x14ac:dyDescent="0.35">
      <c r="E16" s="33" t="s">
        <v>16</v>
      </c>
      <c r="F16" s="33"/>
      <c r="G16" s="33"/>
      <c r="H16" s="35"/>
      <c r="I16" s="9"/>
      <c r="J16" s="55">
        <f>SUM(J10:J15)</f>
        <v>292.72000000000003</v>
      </c>
      <c r="K16" s="49">
        <f>SUM(K10:K15)</f>
        <v>431.42999999999995</v>
      </c>
      <c r="L16" s="49">
        <f>SUM(L10:L15)</f>
        <v>619.69999999999993</v>
      </c>
      <c r="M16" s="49">
        <f>SUM(M10:M15)</f>
        <v>645.54999999999995</v>
      </c>
      <c r="N16" s="49">
        <f>SUM(N10:N15)</f>
        <v>717.53</v>
      </c>
      <c r="O16" s="88"/>
    </row>
    <row r="17" spans="1:15" x14ac:dyDescent="0.35">
      <c r="E17" s="25" t="s">
        <v>17</v>
      </c>
      <c r="F17" s="25"/>
      <c r="G17" s="25"/>
      <c r="I17" s="8"/>
      <c r="J17" s="53">
        <f>J8-J16</f>
        <v>43.829999999999984</v>
      </c>
      <c r="K17" s="53">
        <f>K8-K16</f>
        <v>56.890000000000043</v>
      </c>
      <c r="L17" s="53">
        <f>L8-L16</f>
        <v>70.930000000000064</v>
      </c>
      <c r="M17" s="53">
        <f>M8-M16</f>
        <v>52.590000000000032</v>
      </c>
      <c r="N17" s="53">
        <f>N8-N16</f>
        <v>64.039999999999964</v>
      </c>
      <c r="O17" s="88"/>
    </row>
    <row r="18" spans="1:15" x14ac:dyDescent="0.35">
      <c r="E18" t="s">
        <v>18</v>
      </c>
      <c r="H18" s="9"/>
      <c r="I18" s="7"/>
      <c r="J18" s="56">
        <v>0.38</v>
      </c>
      <c r="K18" s="27">
        <v>0.18</v>
      </c>
      <c r="L18" s="27">
        <v>0.1</v>
      </c>
      <c r="M18" s="27">
        <v>0.18</v>
      </c>
      <c r="N18" s="27">
        <v>0.2</v>
      </c>
      <c r="O18" s="88"/>
    </row>
    <row r="19" spans="1:15" x14ac:dyDescent="0.35">
      <c r="E19" t="s">
        <v>391</v>
      </c>
      <c r="H19" s="9"/>
      <c r="I19" s="7"/>
      <c r="J19" s="56">
        <v>0</v>
      </c>
      <c r="K19" s="56">
        <v>0</v>
      </c>
      <c r="L19" s="56">
        <v>0</v>
      </c>
      <c r="M19" s="56">
        <v>0</v>
      </c>
      <c r="N19" s="27">
        <v>-14.08</v>
      </c>
      <c r="O19" s="88"/>
    </row>
    <row r="20" spans="1:15" x14ac:dyDescent="0.35">
      <c r="C20" s="25" t="s">
        <v>19</v>
      </c>
      <c r="D20" s="25"/>
      <c r="H20" s="9"/>
      <c r="I20" s="7"/>
      <c r="J20" s="55">
        <f>SUM(J17:J18)</f>
        <v>44.209999999999987</v>
      </c>
      <c r="K20" s="49">
        <f>SUM(K17:K18)</f>
        <v>57.070000000000043</v>
      </c>
      <c r="L20" s="49">
        <f>L8-L16+L18</f>
        <v>71.030000000000058</v>
      </c>
      <c r="M20" s="49">
        <f>M8-M16+M18</f>
        <v>52.770000000000032</v>
      </c>
      <c r="N20" s="49">
        <f>N8-N16+N18+N19</f>
        <v>50.159999999999968</v>
      </c>
      <c r="O20" s="88"/>
    </row>
    <row r="21" spans="1:15" x14ac:dyDescent="0.35">
      <c r="C21" s="25" t="s">
        <v>20</v>
      </c>
      <c r="D21" s="25"/>
      <c r="E21" s="19"/>
      <c r="F21" s="19"/>
      <c r="G21" s="19"/>
      <c r="H21" s="35"/>
      <c r="I21" s="7"/>
      <c r="J21" s="57"/>
      <c r="K21" s="28"/>
      <c r="L21" s="28"/>
      <c r="M21" s="28"/>
      <c r="N21" s="28"/>
      <c r="O21" s="88"/>
    </row>
    <row r="22" spans="1:15" x14ac:dyDescent="0.35">
      <c r="E22" t="s">
        <v>21</v>
      </c>
      <c r="I22" s="8"/>
      <c r="J22" s="58">
        <v>10.37</v>
      </c>
      <c r="K22" s="30">
        <v>9.8699999999999992</v>
      </c>
      <c r="L22" s="30">
        <v>12.76</v>
      </c>
      <c r="M22" s="30">
        <v>12.24</v>
      </c>
      <c r="N22" s="30">
        <v>20.54</v>
      </c>
      <c r="O22" s="88"/>
    </row>
    <row r="23" spans="1:15" x14ac:dyDescent="0.35">
      <c r="E23" t="s">
        <v>22</v>
      </c>
      <c r="H23" s="7"/>
      <c r="I23" s="7"/>
      <c r="J23" s="56">
        <v>2.5099999999999998</v>
      </c>
      <c r="K23" s="27">
        <v>2.57</v>
      </c>
      <c r="L23" s="27">
        <v>8.3000000000000007</v>
      </c>
      <c r="M23" s="27">
        <v>4.88</v>
      </c>
      <c r="N23" s="27">
        <v>-5.21</v>
      </c>
      <c r="O23" s="88"/>
    </row>
    <row r="24" spans="1:15" x14ac:dyDescent="0.35">
      <c r="C24" s="10"/>
      <c r="D24" s="10"/>
      <c r="E24" s="48" t="s">
        <v>23</v>
      </c>
      <c r="F24" s="48"/>
      <c r="G24" s="48"/>
      <c r="H24" s="46"/>
      <c r="I24" s="46"/>
      <c r="J24" s="59">
        <f>SUM(J22:J23)</f>
        <v>12.879999999999999</v>
      </c>
      <c r="K24" s="50">
        <f>SUM(K22:K23)</f>
        <v>12.44</v>
      </c>
      <c r="L24" s="50">
        <f>SUM(L22:L23)</f>
        <v>21.060000000000002</v>
      </c>
      <c r="M24" s="50">
        <f>SUM(M22:M23)</f>
        <v>17.12</v>
      </c>
      <c r="N24" s="50">
        <f>SUM(N22:N23)</f>
        <v>15.329999999999998</v>
      </c>
      <c r="O24" s="88"/>
    </row>
    <row r="25" spans="1:15" x14ac:dyDescent="0.35">
      <c r="C25" s="25" t="s">
        <v>24</v>
      </c>
      <c r="D25" s="25"/>
      <c r="H25" s="9"/>
      <c r="I25" s="9"/>
      <c r="J25" s="55">
        <f>J20-J24</f>
        <v>31.329999999999988</v>
      </c>
      <c r="K25" s="49">
        <f>K20-K24</f>
        <v>44.630000000000045</v>
      </c>
      <c r="L25" s="49">
        <f>L20-L24</f>
        <v>49.970000000000056</v>
      </c>
      <c r="M25" s="49">
        <f>M20-M24</f>
        <v>35.650000000000034</v>
      </c>
      <c r="N25" s="49">
        <f>N20-N24</f>
        <v>34.82999999999997</v>
      </c>
      <c r="O25" s="88"/>
    </row>
    <row r="26" spans="1:15" x14ac:dyDescent="0.35">
      <c r="C26" s="25"/>
      <c r="D26" s="25"/>
      <c r="I26" s="7"/>
      <c r="J26" s="28"/>
      <c r="K26" s="28"/>
      <c r="L26" s="28"/>
      <c r="M26" s="28"/>
      <c r="N26" s="28"/>
      <c r="O26" s="88"/>
    </row>
    <row r="27" spans="1:15" ht="18.5" x14ac:dyDescent="0.45">
      <c r="A27" s="19" t="s">
        <v>25</v>
      </c>
      <c r="B27" s="19" t="s">
        <v>25</v>
      </c>
      <c r="C27" s="41" t="s">
        <v>26</v>
      </c>
      <c r="D27" s="41"/>
      <c r="E27" s="41"/>
      <c r="F27" s="41"/>
      <c r="G27" s="41"/>
      <c r="H27" s="42"/>
      <c r="I27" s="38"/>
      <c r="J27" s="39"/>
      <c r="K27" s="40"/>
      <c r="L27" s="40"/>
      <c r="M27" s="40"/>
      <c r="N27" s="92"/>
      <c r="O27" s="88"/>
    </row>
    <row r="28" spans="1:15" x14ac:dyDescent="0.35">
      <c r="C28" s="25" t="s">
        <v>27</v>
      </c>
      <c r="D28" s="25"/>
      <c r="J28" s="28"/>
      <c r="K28" s="28"/>
      <c r="L28" s="28"/>
      <c r="M28" s="28"/>
      <c r="N28" s="93"/>
      <c r="O28" s="88"/>
    </row>
    <row r="29" spans="1:15" x14ac:dyDescent="0.35">
      <c r="A29" s="6"/>
      <c r="B29" s="6"/>
      <c r="C29" s="25" t="s">
        <v>28</v>
      </c>
      <c r="D29" s="25"/>
      <c r="E29" s="25"/>
      <c r="F29" s="25"/>
      <c r="G29" s="25"/>
      <c r="H29" s="5"/>
      <c r="I29" s="5"/>
      <c r="L29" s="37"/>
      <c r="M29" s="37"/>
      <c r="N29" s="37"/>
      <c r="O29" s="88"/>
    </row>
    <row r="30" spans="1:15" ht="14.5" customHeight="1" x14ac:dyDescent="0.35">
      <c r="C30" s="25"/>
      <c r="D30" t="s">
        <v>35</v>
      </c>
      <c r="H30" s="5"/>
      <c r="I30" s="13"/>
      <c r="J30" s="31">
        <v>121.53</v>
      </c>
      <c r="K30" s="27">
        <v>281.77999999999997</v>
      </c>
      <c r="L30" s="56">
        <v>339.32</v>
      </c>
      <c r="M30" s="56">
        <v>480.37</v>
      </c>
      <c r="N30" s="56">
        <v>373.64</v>
      </c>
      <c r="O30" s="88"/>
    </row>
    <row r="31" spans="1:15" ht="15.5" x14ac:dyDescent="0.35">
      <c r="D31" t="s">
        <v>94</v>
      </c>
      <c r="H31" s="7"/>
      <c r="I31" s="12"/>
      <c r="J31" s="56">
        <v>4.8499999999999996</v>
      </c>
      <c r="K31" s="56">
        <v>3.19</v>
      </c>
      <c r="L31" s="56">
        <v>6.72</v>
      </c>
      <c r="M31" s="56">
        <v>14.1</v>
      </c>
      <c r="N31" s="56">
        <v>29.27</v>
      </c>
      <c r="O31" s="88"/>
    </row>
    <row r="32" spans="1:15" ht="15.5" x14ac:dyDescent="0.35">
      <c r="D32" t="s">
        <v>95</v>
      </c>
      <c r="H32" s="9"/>
      <c r="I32" s="12"/>
      <c r="J32" s="56">
        <v>114.65</v>
      </c>
      <c r="K32" s="56">
        <v>10.62</v>
      </c>
      <c r="L32" s="52">
        <v>35.840000000000003</v>
      </c>
      <c r="M32" s="52">
        <v>108.91</v>
      </c>
      <c r="N32" s="52">
        <v>156.19</v>
      </c>
      <c r="O32" s="88"/>
    </row>
    <row r="33" spans="3:21" ht="15.5" x14ac:dyDescent="0.35">
      <c r="D33" t="s">
        <v>96</v>
      </c>
      <c r="H33" s="9"/>
      <c r="I33" s="12"/>
      <c r="J33" s="52">
        <v>0.33</v>
      </c>
      <c r="K33" s="52">
        <v>0.16</v>
      </c>
      <c r="L33" s="52">
        <v>1.41</v>
      </c>
      <c r="M33" s="52">
        <v>1.1499999999999999</v>
      </c>
      <c r="N33" s="52">
        <v>0.94</v>
      </c>
      <c r="O33" s="88"/>
      <c r="P33" s="414"/>
      <c r="Q33" s="414"/>
      <c r="R33" s="414"/>
      <c r="S33" s="414"/>
      <c r="T33" s="414"/>
      <c r="U33" s="414"/>
    </row>
    <row r="34" spans="3:21" ht="15.5" x14ac:dyDescent="0.35">
      <c r="D34" t="s">
        <v>36</v>
      </c>
      <c r="H34" s="9"/>
      <c r="I34" s="12"/>
      <c r="L34" s="56"/>
      <c r="M34" s="56"/>
      <c r="N34" s="56"/>
      <c r="O34" s="88"/>
      <c r="Q34" s="28"/>
      <c r="R34" s="28"/>
      <c r="S34" s="28"/>
      <c r="T34" s="28"/>
      <c r="U34" s="28"/>
    </row>
    <row r="35" spans="3:21" ht="15.5" x14ac:dyDescent="0.35">
      <c r="E35" t="s">
        <v>97</v>
      </c>
      <c r="H35" s="9"/>
      <c r="I35" s="12"/>
      <c r="J35" s="56">
        <v>0.75</v>
      </c>
      <c r="K35" s="56">
        <v>0.97</v>
      </c>
      <c r="L35" s="56">
        <v>0.75</v>
      </c>
      <c r="M35" s="56">
        <v>0.45</v>
      </c>
      <c r="N35" s="56">
        <v>0.45</v>
      </c>
      <c r="O35" s="88"/>
      <c r="Q35" s="119"/>
      <c r="R35" s="119"/>
      <c r="S35" s="119"/>
      <c r="T35" s="119"/>
      <c r="U35" s="119"/>
    </row>
    <row r="36" spans="3:21" ht="15.5" x14ac:dyDescent="0.35">
      <c r="E36" t="s">
        <v>98</v>
      </c>
      <c r="H36" s="9"/>
      <c r="I36" s="12"/>
      <c r="J36" s="56">
        <v>7.34</v>
      </c>
      <c r="K36" s="56">
        <v>8.48</v>
      </c>
      <c r="L36" s="56">
        <v>7.47</v>
      </c>
      <c r="M36" s="31">
        <v>10.78</v>
      </c>
      <c r="N36" s="56">
        <v>13.84</v>
      </c>
      <c r="O36" s="88"/>
    </row>
    <row r="37" spans="3:21" ht="15.5" x14ac:dyDescent="0.35">
      <c r="E37" t="s">
        <v>120</v>
      </c>
      <c r="H37" s="9"/>
      <c r="I37" s="12"/>
      <c r="J37" s="83" t="s">
        <v>45</v>
      </c>
      <c r="K37" s="83" t="s">
        <v>45</v>
      </c>
      <c r="L37" s="83" t="s">
        <v>45</v>
      </c>
      <c r="M37" s="83" t="s">
        <v>45</v>
      </c>
      <c r="N37" s="56">
        <v>0.27</v>
      </c>
      <c r="O37" s="88"/>
    </row>
    <row r="38" spans="3:21" ht="15.5" x14ac:dyDescent="0.35">
      <c r="D38" t="s">
        <v>37</v>
      </c>
      <c r="H38" s="9"/>
      <c r="I38" s="12"/>
      <c r="J38" s="81" t="s">
        <v>45</v>
      </c>
      <c r="K38" s="81" t="s">
        <v>45</v>
      </c>
      <c r="L38" s="81" t="s">
        <v>45</v>
      </c>
      <c r="M38" s="56">
        <v>61.89</v>
      </c>
      <c r="N38" s="56">
        <v>172.88</v>
      </c>
      <c r="O38" s="88"/>
    </row>
    <row r="39" spans="3:21" ht="15.5" x14ac:dyDescent="0.35">
      <c r="C39" s="43"/>
      <c r="D39" s="19" t="s">
        <v>99</v>
      </c>
      <c r="E39" s="19"/>
      <c r="H39" s="9"/>
      <c r="I39" s="2"/>
      <c r="J39" s="56">
        <v>2.35</v>
      </c>
      <c r="K39" s="56">
        <v>1.6</v>
      </c>
      <c r="L39" s="56">
        <v>6.46</v>
      </c>
      <c r="M39" s="56">
        <v>0.09</v>
      </c>
      <c r="N39" s="94" t="s">
        <v>45</v>
      </c>
      <c r="O39" s="88"/>
    </row>
    <row r="40" spans="3:21" ht="15.5" x14ac:dyDescent="0.35">
      <c r="C40" s="48" t="s">
        <v>100</v>
      </c>
      <c r="F40" s="74"/>
      <c r="G40" s="75"/>
      <c r="H40" s="10"/>
      <c r="I40" s="47"/>
      <c r="J40" s="53">
        <f>SUM(J30:J39)</f>
        <v>251.8</v>
      </c>
      <c r="K40" s="53">
        <f>SUM(K30:K39)</f>
        <v>306.80000000000007</v>
      </c>
      <c r="L40" s="53">
        <f>SUM(L30:L39)</f>
        <v>397.97</v>
      </c>
      <c r="M40" s="53">
        <f>SUM(M30:M39)</f>
        <v>677.74</v>
      </c>
      <c r="N40" s="53">
        <f>SUM(N30:N39)</f>
        <v>747.48</v>
      </c>
      <c r="O40" s="88"/>
    </row>
    <row r="41" spans="3:21" ht="15.5" x14ac:dyDescent="0.35">
      <c r="C41" s="25" t="s">
        <v>29</v>
      </c>
      <c r="D41" s="25"/>
      <c r="H41" s="15"/>
      <c r="I41" s="12"/>
      <c r="J41" s="56"/>
      <c r="K41" s="56"/>
      <c r="L41" s="56"/>
      <c r="M41" s="56"/>
      <c r="N41" s="56"/>
      <c r="O41" s="88"/>
    </row>
    <row r="42" spans="3:21" ht="15.5" x14ac:dyDescent="0.35">
      <c r="D42" t="s">
        <v>38</v>
      </c>
      <c r="H42" s="15"/>
      <c r="I42" s="12"/>
      <c r="J42" s="56">
        <v>114.03</v>
      </c>
      <c r="K42" s="56">
        <v>194.59</v>
      </c>
      <c r="L42" s="56">
        <v>292.97000000000003</v>
      </c>
      <c r="M42" s="56">
        <v>382.44</v>
      </c>
      <c r="N42" s="56">
        <v>309.13</v>
      </c>
      <c r="O42" s="88"/>
    </row>
    <row r="43" spans="3:21" x14ac:dyDescent="0.35">
      <c r="D43" t="s">
        <v>39</v>
      </c>
      <c r="I43" s="15"/>
      <c r="J43" s="56"/>
      <c r="K43" s="56"/>
      <c r="L43" s="56"/>
      <c r="M43" s="56"/>
      <c r="N43" s="56"/>
      <c r="O43" s="88"/>
    </row>
    <row r="44" spans="3:21" x14ac:dyDescent="0.35">
      <c r="E44" t="s">
        <v>97</v>
      </c>
      <c r="I44" s="9"/>
      <c r="J44" s="81" t="s">
        <v>45</v>
      </c>
      <c r="K44" s="56">
        <v>80.760000000000005</v>
      </c>
      <c r="L44" s="56">
        <v>76.06</v>
      </c>
      <c r="M44" s="83" t="s">
        <v>45</v>
      </c>
      <c r="N44" s="81" t="s">
        <v>45</v>
      </c>
      <c r="O44" s="88"/>
    </row>
    <row r="45" spans="3:21" x14ac:dyDescent="0.35">
      <c r="E45" t="s">
        <v>101</v>
      </c>
      <c r="I45" s="9"/>
      <c r="J45" s="56">
        <v>78.55</v>
      </c>
      <c r="K45" s="56">
        <v>109.5</v>
      </c>
      <c r="L45" s="56">
        <v>177.38</v>
      </c>
      <c r="M45" s="56">
        <v>281.69</v>
      </c>
      <c r="N45" s="56">
        <v>200.22</v>
      </c>
      <c r="O45" s="88"/>
    </row>
    <row r="46" spans="3:21" x14ac:dyDescent="0.35">
      <c r="E46" t="s">
        <v>102</v>
      </c>
      <c r="I46" s="9"/>
      <c r="J46" s="62">
        <v>0.51</v>
      </c>
      <c r="K46" s="62">
        <v>32.799999999999997</v>
      </c>
      <c r="L46" s="62">
        <v>18.22</v>
      </c>
      <c r="M46" s="56">
        <v>12.23</v>
      </c>
      <c r="N46" s="56">
        <v>4.96</v>
      </c>
      <c r="O46" s="88"/>
    </row>
    <row r="47" spans="3:21" x14ac:dyDescent="0.35">
      <c r="E47" t="s">
        <v>103</v>
      </c>
      <c r="I47" s="9"/>
      <c r="J47" s="56">
        <v>0.7</v>
      </c>
      <c r="K47" s="56">
        <v>12.42</v>
      </c>
      <c r="L47" s="31">
        <v>2.48</v>
      </c>
      <c r="M47" s="56">
        <v>0.26</v>
      </c>
      <c r="N47" s="56">
        <v>0</v>
      </c>
      <c r="O47" s="88"/>
    </row>
    <row r="48" spans="3:21" ht="15.5" x14ac:dyDescent="0.35">
      <c r="E48" t="s">
        <v>104</v>
      </c>
      <c r="G48" s="7"/>
      <c r="I48" s="12"/>
      <c r="J48" s="81" t="s">
        <v>45</v>
      </c>
      <c r="K48" s="81" t="s">
        <v>45</v>
      </c>
      <c r="L48" s="56">
        <v>0.36</v>
      </c>
      <c r="M48" s="56">
        <v>0.68</v>
      </c>
      <c r="N48" s="56">
        <v>0.39</v>
      </c>
      <c r="O48" s="88"/>
    </row>
    <row r="49" spans="3:15" ht="15.5" x14ac:dyDescent="0.35">
      <c r="C49" s="43"/>
      <c r="D49" s="43"/>
      <c r="E49" t="s">
        <v>105</v>
      </c>
      <c r="G49" s="7"/>
      <c r="I49" s="12"/>
      <c r="J49" s="56">
        <v>24.96</v>
      </c>
      <c r="K49" s="56">
        <v>40.47</v>
      </c>
      <c r="L49" s="56">
        <v>33.950000000000003</v>
      </c>
      <c r="M49" s="56">
        <v>69.83</v>
      </c>
      <c r="N49" s="56">
        <v>441.05</v>
      </c>
      <c r="O49" s="88"/>
    </row>
    <row r="50" spans="3:15" ht="15.5" x14ac:dyDescent="0.35">
      <c r="C50" s="43"/>
      <c r="D50" t="s">
        <v>40</v>
      </c>
      <c r="H50" s="9"/>
      <c r="I50" s="13"/>
      <c r="J50" s="56">
        <v>21.41</v>
      </c>
      <c r="K50" s="56">
        <v>21.92</v>
      </c>
      <c r="L50" s="56">
        <v>54.41</v>
      </c>
      <c r="M50" s="56">
        <v>36.53</v>
      </c>
      <c r="N50" s="56">
        <v>44.08</v>
      </c>
      <c r="O50" s="88"/>
    </row>
    <row r="51" spans="3:15" ht="15.5" x14ac:dyDescent="0.35">
      <c r="C51" s="48" t="s">
        <v>30</v>
      </c>
      <c r="D51" s="45"/>
      <c r="E51" s="10"/>
      <c r="F51" s="10"/>
      <c r="G51" s="10"/>
      <c r="H51" s="46"/>
      <c r="I51" s="11"/>
      <c r="J51" s="53">
        <f>SUM(J42:J50)</f>
        <v>240.15999999999997</v>
      </c>
      <c r="K51" s="53">
        <f>SUM(K42:K50)</f>
        <v>492.46000000000009</v>
      </c>
      <c r="L51" s="53">
        <f>SUM(L42:L50)</f>
        <v>655.83000000000015</v>
      </c>
      <c r="M51" s="53">
        <f>SUM(M42:M50)</f>
        <v>783.66</v>
      </c>
      <c r="N51" s="53">
        <f>SUM(N42:N50)</f>
        <v>999.83</v>
      </c>
      <c r="O51" s="88"/>
    </row>
    <row r="52" spans="3:15" ht="15.5" x14ac:dyDescent="0.35">
      <c r="C52" s="33" t="s">
        <v>106</v>
      </c>
      <c r="D52" s="80"/>
      <c r="E52" s="19"/>
      <c r="F52" s="19"/>
      <c r="G52" s="19"/>
      <c r="H52" s="76"/>
      <c r="I52" s="20"/>
      <c r="J52" s="82">
        <f>J40+J51</f>
        <v>491.96</v>
      </c>
      <c r="K52" s="82">
        <f>K40+K51</f>
        <v>799.26000000000022</v>
      </c>
      <c r="L52" s="82">
        <f>L40+L51</f>
        <v>1053.8000000000002</v>
      </c>
      <c r="M52" s="82">
        <f>M40+M51</f>
        <v>1461.4</v>
      </c>
      <c r="N52" s="82">
        <f>N40+N51</f>
        <v>1747.31</v>
      </c>
      <c r="O52" s="88"/>
    </row>
    <row r="53" spans="3:15" ht="15.5" x14ac:dyDescent="0.35">
      <c r="C53" s="44"/>
      <c r="D53" s="44"/>
      <c r="E53" s="25"/>
      <c r="H53" s="17"/>
      <c r="I53" s="13"/>
      <c r="J53" s="56"/>
      <c r="K53" s="56"/>
      <c r="L53" s="56"/>
      <c r="M53" s="56"/>
      <c r="N53" s="56"/>
      <c r="O53" s="88"/>
    </row>
    <row r="54" spans="3:15" ht="15.5" x14ac:dyDescent="0.35">
      <c r="C54" s="25" t="s">
        <v>31</v>
      </c>
      <c r="D54" s="25"/>
      <c r="H54" s="17"/>
      <c r="I54" s="12"/>
      <c r="J54" s="56"/>
      <c r="K54" s="56"/>
      <c r="L54" s="56"/>
      <c r="M54" s="56"/>
      <c r="N54" s="56"/>
      <c r="O54" s="88"/>
    </row>
    <row r="55" spans="3:15" ht="15.5" x14ac:dyDescent="0.35">
      <c r="C55" s="25" t="s">
        <v>32</v>
      </c>
      <c r="D55" s="25"/>
      <c r="H55" s="17"/>
      <c r="I55" s="2"/>
      <c r="J55" s="56"/>
      <c r="K55" s="56"/>
      <c r="L55" s="56"/>
      <c r="M55" s="56"/>
      <c r="N55" s="56"/>
      <c r="O55" s="88"/>
    </row>
    <row r="56" spans="3:15" ht="15.5" x14ac:dyDescent="0.35">
      <c r="E56" t="s">
        <v>107</v>
      </c>
      <c r="H56" s="17"/>
      <c r="I56" s="12"/>
      <c r="J56" s="56">
        <v>23.33</v>
      </c>
      <c r="K56" s="56">
        <v>24.94</v>
      </c>
      <c r="L56" s="56">
        <v>24.94</v>
      </c>
      <c r="M56" s="56">
        <v>26.38</v>
      </c>
      <c r="N56" s="56">
        <v>26.38</v>
      </c>
      <c r="O56" s="88"/>
    </row>
    <row r="57" spans="3:15" ht="15.5" x14ac:dyDescent="0.35">
      <c r="C57" s="43"/>
      <c r="D57" s="43"/>
      <c r="E57" t="s">
        <v>41</v>
      </c>
      <c r="H57" s="17"/>
      <c r="I57" s="12"/>
      <c r="J57" s="56">
        <v>159.68</v>
      </c>
      <c r="K57" s="56">
        <v>414.3</v>
      </c>
      <c r="L57" s="56">
        <v>457.58</v>
      </c>
      <c r="M57" s="56">
        <v>733.91</v>
      </c>
      <c r="N57" s="56">
        <v>763.01</v>
      </c>
      <c r="O57" s="88"/>
    </row>
    <row r="58" spans="3:15" ht="15.5" x14ac:dyDescent="0.35">
      <c r="C58" s="25"/>
      <c r="D58" s="25"/>
      <c r="E58" s="48" t="s">
        <v>108</v>
      </c>
      <c r="F58" s="10"/>
      <c r="G58" s="10"/>
      <c r="H58" s="46"/>
      <c r="I58" s="16"/>
      <c r="J58" s="53">
        <f>SUM(J56:J57)</f>
        <v>183.01</v>
      </c>
      <c r="K58" s="53">
        <f>SUM(K56:K57)</f>
        <v>439.24</v>
      </c>
      <c r="L58" s="53">
        <f>SUM(L56:L57)</f>
        <v>482.52</v>
      </c>
      <c r="M58" s="53">
        <f>SUM(M56:M57)</f>
        <v>760.29</v>
      </c>
      <c r="N58" s="53">
        <f>SUM(N56:N57)</f>
        <v>789.39</v>
      </c>
      <c r="O58" s="88"/>
    </row>
    <row r="59" spans="3:15" ht="15.5" x14ac:dyDescent="0.35">
      <c r="C59" s="25" t="s">
        <v>93</v>
      </c>
      <c r="D59" s="25"/>
      <c r="H59" s="9"/>
      <c r="I59" s="12"/>
      <c r="J59" s="56"/>
      <c r="K59" s="56"/>
      <c r="L59" s="56"/>
      <c r="M59" s="56"/>
      <c r="N59" s="56"/>
      <c r="O59" s="88"/>
    </row>
    <row r="60" spans="3:15" ht="15.5" x14ac:dyDescent="0.35">
      <c r="D60" t="s">
        <v>42</v>
      </c>
      <c r="G60" s="7"/>
      <c r="I60" s="12"/>
      <c r="J60" s="56"/>
      <c r="K60" s="56"/>
      <c r="L60" s="56"/>
      <c r="M60" s="56"/>
      <c r="N60" s="56"/>
      <c r="O60" s="88"/>
    </row>
    <row r="61" spans="3:15" ht="15.5" x14ac:dyDescent="0.35">
      <c r="E61" t="s">
        <v>109</v>
      </c>
      <c r="I61" s="12"/>
      <c r="J61" s="56">
        <v>116.1</v>
      </c>
      <c r="K61" s="56">
        <v>121.52</v>
      </c>
      <c r="L61" s="56">
        <v>129.08000000000001</v>
      </c>
      <c r="M61" s="56">
        <v>124.23</v>
      </c>
      <c r="N61" s="56">
        <v>170.1</v>
      </c>
      <c r="O61" s="88"/>
    </row>
    <row r="62" spans="3:15" ht="15.5" x14ac:dyDescent="0.35">
      <c r="E62" t="s">
        <v>110</v>
      </c>
      <c r="G62" s="7"/>
      <c r="I62" s="12"/>
      <c r="J62" s="56">
        <v>1.72</v>
      </c>
      <c r="K62" s="56">
        <v>1.95</v>
      </c>
      <c r="L62" s="56">
        <v>5.03</v>
      </c>
      <c r="M62" s="56">
        <v>13.45</v>
      </c>
      <c r="N62" s="56">
        <v>23.81</v>
      </c>
      <c r="O62" s="88"/>
    </row>
    <row r="63" spans="3:15" ht="15.5" x14ac:dyDescent="0.35">
      <c r="E63" t="s">
        <v>111</v>
      </c>
      <c r="G63" s="7"/>
      <c r="I63" s="12"/>
      <c r="J63" s="56">
        <v>2</v>
      </c>
      <c r="K63" s="56">
        <v>3.8</v>
      </c>
      <c r="L63" s="56">
        <v>3.76</v>
      </c>
      <c r="M63" s="56">
        <v>3.65</v>
      </c>
      <c r="N63" s="56">
        <v>2.1</v>
      </c>
      <c r="O63" s="88"/>
    </row>
    <row r="64" spans="3:15" ht="15.5" x14ac:dyDescent="0.35">
      <c r="C64" s="43"/>
      <c r="D64" t="s">
        <v>112</v>
      </c>
      <c r="H64" s="9"/>
      <c r="I64" s="13"/>
      <c r="J64" s="56">
        <v>3.03</v>
      </c>
      <c r="K64" s="56">
        <v>4.04</v>
      </c>
      <c r="L64" s="56">
        <v>4.6500000000000004</v>
      </c>
      <c r="M64" s="56">
        <v>9.08</v>
      </c>
      <c r="N64" s="56">
        <v>11.1</v>
      </c>
      <c r="O64" s="88"/>
    </row>
    <row r="65" spans="1:15" ht="15.5" x14ac:dyDescent="0.35">
      <c r="C65" s="25"/>
      <c r="D65" t="s">
        <v>43</v>
      </c>
      <c r="F65" s="7"/>
      <c r="G65" s="7"/>
      <c r="I65" s="13"/>
      <c r="J65" s="56">
        <v>8.16</v>
      </c>
      <c r="K65" s="56">
        <v>10.61</v>
      </c>
      <c r="L65" s="56">
        <v>19.02</v>
      </c>
      <c r="M65" s="56">
        <v>23.73</v>
      </c>
      <c r="N65" s="56">
        <v>17.41</v>
      </c>
      <c r="O65" s="88"/>
    </row>
    <row r="66" spans="1:15" ht="15.5" x14ac:dyDescent="0.35">
      <c r="C66" s="48" t="s">
        <v>113</v>
      </c>
      <c r="D66" s="48"/>
      <c r="E66" s="10"/>
      <c r="F66" s="74"/>
      <c r="G66" s="74"/>
      <c r="H66" s="10"/>
      <c r="I66" s="16"/>
      <c r="J66" s="60">
        <f>SUM(J61:J65)</f>
        <v>131.01</v>
      </c>
      <c r="K66" s="60">
        <f>SUM(K61:K65)</f>
        <v>141.92000000000002</v>
      </c>
      <c r="L66" s="60">
        <f>SUM(L61:L65)</f>
        <v>161.54000000000002</v>
      </c>
      <c r="M66" s="60">
        <f>SUM(M61:M65)</f>
        <v>174.14000000000001</v>
      </c>
      <c r="N66" s="60">
        <f>SUM(N61:N65)</f>
        <v>224.51999999999998</v>
      </c>
      <c r="O66" s="88"/>
    </row>
    <row r="67" spans="1:15" x14ac:dyDescent="0.35">
      <c r="C67" s="25" t="s">
        <v>33</v>
      </c>
      <c r="D67" s="25"/>
      <c r="G67" s="7"/>
      <c r="H67" s="7"/>
      <c r="J67" s="52"/>
      <c r="K67" s="52"/>
      <c r="L67" s="52"/>
      <c r="M67" s="52"/>
      <c r="N67" s="52"/>
      <c r="O67" s="88"/>
    </row>
    <row r="68" spans="1:15" x14ac:dyDescent="0.35">
      <c r="D68" t="s">
        <v>42</v>
      </c>
      <c r="G68" s="14"/>
      <c r="H68" s="14"/>
      <c r="J68" s="52"/>
      <c r="K68" s="52"/>
      <c r="L68" s="52"/>
      <c r="M68" s="52"/>
      <c r="N68" s="52"/>
      <c r="O68" s="88"/>
    </row>
    <row r="69" spans="1:15" x14ac:dyDescent="0.35">
      <c r="E69" t="s">
        <v>114</v>
      </c>
      <c r="I69" s="17"/>
      <c r="J69" s="56">
        <v>85.79</v>
      </c>
      <c r="K69" s="56">
        <v>76.2</v>
      </c>
      <c r="L69" s="56">
        <v>233.13</v>
      </c>
      <c r="M69" s="52">
        <v>269.3</v>
      </c>
      <c r="N69" s="56">
        <v>395.94</v>
      </c>
      <c r="O69" s="88"/>
    </row>
    <row r="70" spans="1:15" ht="15.5" x14ac:dyDescent="0.35">
      <c r="E70" t="s">
        <v>110</v>
      </c>
      <c r="H70" s="17"/>
      <c r="I70" s="2"/>
      <c r="J70" s="56">
        <v>4.0199999999999996</v>
      </c>
      <c r="K70" s="56">
        <v>2.0699999999999998</v>
      </c>
      <c r="L70" s="56">
        <v>2.27</v>
      </c>
      <c r="M70" s="56">
        <v>1.94</v>
      </c>
      <c r="N70" s="56">
        <v>6.89</v>
      </c>
      <c r="O70" s="88"/>
    </row>
    <row r="71" spans="1:15" ht="15.5" x14ac:dyDescent="0.35">
      <c r="E71" t="s">
        <v>115</v>
      </c>
      <c r="H71" s="17"/>
      <c r="I71" s="13"/>
      <c r="J71" s="56">
        <v>66.08</v>
      </c>
      <c r="K71" s="56">
        <v>98.88</v>
      </c>
      <c r="L71" s="56">
        <v>156.55000000000001</v>
      </c>
      <c r="M71" s="56">
        <v>144.6</v>
      </c>
      <c r="N71" s="56">
        <v>263.19</v>
      </c>
      <c r="O71" s="88"/>
    </row>
    <row r="72" spans="1:15" ht="15.5" x14ac:dyDescent="0.35">
      <c r="E72" t="s">
        <v>116</v>
      </c>
      <c r="F72" s="9"/>
      <c r="G72" s="9"/>
      <c r="I72" s="12"/>
      <c r="J72" s="56">
        <v>19.13</v>
      </c>
      <c r="K72" s="56">
        <v>36.880000000000003</v>
      </c>
      <c r="L72" s="56">
        <v>12.41</v>
      </c>
      <c r="M72" s="56">
        <v>88.22</v>
      </c>
      <c r="N72" s="56">
        <v>35.549999999999997</v>
      </c>
      <c r="O72" s="88"/>
    </row>
    <row r="73" spans="1:15" ht="15.5" x14ac:dyDescent="0.35">
      <c r="D73" t="s">
        <v>44</v>
      </c>
      <c r="F73" s="7"/>
      <c r="G73" s="7"/>
      <c r="I73" s="12"/>
      <c r="J73" s="56">
        <v>1.8</v>
      </c>
      <c r="K73" s="56">
        <v>2.2000000000000002</v>
      </c>
      <c r="L73" s="56">
        <v>1.54</v>
      </c>
      <c r="M73" s="56">
        <v>18.14</v>
      </c>
      <c r="N73" s="56">
        <v>20.41</v>
      </c>
      <c r="O73" s="88"/>
    </row>
    <row r="74" spans="1:15" ht="15.5" x14ac:dyDescent="0.35">
      <c r="D74" t="s">
        <v>117</v>
      </c>
      <c r="F74" s="7"/>
      <c r="G74" s="7"/>
      <c r="I74" s="13"/>
      <c r="J74" s="52">
        <v>1.1200000000000001</v>
      </c>
      <c r="K74" s="52">
        <v>1.87</v>
      </c>
      <c r="L74" s="52">
        <v>2.08</v>
      </c>
      <c r="M74" s="52">
        <v>1.31</v>
      </c>
      <c r="N74" s="52">
        <v>4.21</v>
      </c>
      <c r="O74" s="88"/>
    </row>
    <row r="75" spans="1:15" x14ac:dyDescent="0.35">
      <c r="D75" t="s">
        <v>118</v>
      </c>
      <c r="F75" s="7"/>
      <c r="G75" s="7"/>
      <c r="J75" s="86" t="s">
        <v>45</v>
      </c>
      <c r="K75" s="86" t="s">
        <v>45</v>
      </c>
      <c r="L75" s="69">
        <v>1.76</v>
      </c>
      <c r="M75" s="69">
        <v>3.46</v>
      </c>
      <c r="N75" s="69">
        <v>7.21</v>
      </c>
      <c r="O75" s="88"/>
    </row>
    <row r="76" spans="1:15" x14ac:dyDescent="0.35">
      <c r="C76" s="48" t="s">
        <v>34</v>
      </c>
      <c r="D76" s="10"/>
      <c r="E76" s="10"/>
      <c r="F76" s="8"/>
      <c r="G76" s="8"/>
      <c r="H76" s="10"/>
      <c r="I76" s="10"/>
      <c r="J76" s="59">
        <f>SUM(J69:J75)</f>
        <v>177.94</v>
      </c>
      <c r="K76" s="59">
        <f>SUM(K69:K75)</f>
        <v>218.09999999999997</v>
      </c>
      <c r="L76" s="59">
        <f>SUM(L69:L75)</f>
        <v>409.74000000000007</v>
      </c>
      <c r="M76" s="59">
        <f>SUM(M69:M75)</f>
        <v>526.97</v>
      </c>
      <c r="N76" s="59">
        <f>SUM(N69:N75)</f>
        <v>733.4</v>
      </c>
      <c r="O76" s="88"/>
    </row>
    <row r="77" spans="1:15" x14ac:dyDescent="0.35">
      <c r="C77" s="33" t="s">
        <v>119</v>
      </c>
      <c r="D77" s="19"/>
      <c r="E77" s="19"/>
      <c r="F77" s="38"/>
      <c r="G77" s="38"/>
      <c r="H77" s="19"/>
      <c r="I77" s="19"/>
      <c r="J77" s="84">
        <f>J66+J76</f>
        <v>308.95</v>
      </c>
      <c r="K77" s="84">
        <f>K66+K76</f>
        <v>360.02</v>
      </c>
      <c r="L77" s="84">
        <f>L66+L76</f>
        <v>571.28000000000009</v>
      </c>
      <c r="M77" s="84">
        <f>M66+M76</f>
        <v>701.11</v>
      </c>
      <c r="N77" s="84">
        <f>N66+N76</f>
        <v>957.92</v>
      </c>
      <c r="O77" s="88"/>
    </row>
    <row r="78" spans="1:15" ht="15" thickBot="1" x14ac:dyDescent="0.4">
      <c r="A78" s="77"/>
      <c r="B78" s="77"/>
      <c r="C78" s="78" t="s">
        <v>31</v>
      </c>
      <c r="D78" s="77"/>
      <c r="E78" s="77"/>
      <c r="F78" s="79"/>
      <c r="G78" s="79"/>
      <c r="H78" s="77"/>
      <c r="I78" s="77"/>
      <c r="J78" s="85">
        <f>J77+J58</f>
        <v>491.96</v>
      </c>
      <c r="K78" s="85">
        <f>K77+K58</f>
        <v>799.26</v>
      </c>
      <c r="L78" s="85">
        <f>L77+L58</f>
        <v>1053.8000000000002</v>
      </c>
      <c r="M78" s="85">
        <f>M77+M58</f>
        <v>1461.4</v>
      </c>
      <c r="N78" s="85">
        <f>N77+N58</f>
        <v>1747.31</v>
      </c>
      <c r="O78" s="88"/>
    </row>
    <row r="79" spans="1:15" x14ac:dyDescent="0.35">
      <c r="C79" s="25"/>
      <c r="F79" s="7"/>
      <c r="G79" s="7"/>
      <c r="O79" s="88"/>
    </row>
    <row r="80" spans="1:15" x14ac:dyDescent="0.35">
      <c r="C80" s="25"/>
      <c r="F80" s="7"/>
      <c r="G80" s="7" t="s">
        <v>206</v>
      </c>
      <c r="J80" t="b">
        <f>J78=J52</f>
        <v>1</v>
      </c>
      <c r="K80" t="b">
        <f>K78=K52</f>
        <v>1</v>
      </c>
      <c r="L80" t="b">
        <f>L78=L52</f>
        <v>1</v>
      </c>
      <c r="M80" t="b">
        <f>M78=M52</f>
        <v>1</v>
      </c>
      <c r="N80" t="b">
        <f>N78=N52</f>
        <v>1</v>
      </c>
      <c r="O80" s="88"/>
    </row>
    <row r="81" spans="1:15" x14ac:dyDescent="0.35">
      <c r="F81" s="7"/>
      <c r="G81" s="7"/>
      <c r="O81" s="88"/>
    </row>
    <row r="82" spans="1:15" ht="15.5" x14ac:dyDescent="0.35">
      <c r="A82" s="36" t="s">
        <v>25</v>
      </c>
      <c r="B82" s="36" t="s">
        <v>25</v>
      </c>
      <c r="C82" s="3" t="s">
        <v>4</v>
      </c>
      <c r="D82" s="3"/>
      <c r="E82" s="19"/>
      <c r="F82" s="4"/>
      <c r="G82" s="4"/>
      <c r="H82" s="4"/>
      <c r="I82" s="20"/>
      <c r="J82" s="61"/>
      <c r="K82" s="61"/>
      <c r="L82" s="61"/>
      <c r="M82" s="61"/>
      <c r="N82" s="61"/>
      <c r="O82" s="88"/>
    </row>
    <row r="83" spans="1:15" ht="15.5" x14ac:dyDescent="0.35">
      <c r="C83" s="43" t="s">
        <v>46</v>
      </c>
      <c r="D83" s="43"/>
      <c r="H83" s="9"/>
      <c r="I83" s="13"/>
      <c r="J83" s="28"/>
      <c r="K83" s="27"/>
      <c r="L83" s="27"/>
      <c r="M83" s="27"/>
      <c r="N83" s="27"/>
      <c r="O83" s="88"/>
    </row>
    <row r="84" spans="1:15" ht="15.5" x14ac:dyDescent="0.35">
      <c r="E84" t="s">
        <v>127</v>
      </c>
      <c r="H84" s="9"/>
      <c r="I84" s="13"/>
      <c r="J84" s="31">
        <v>44.21</v>
      </c>
      <c r="K84" s="27">
        <v>57.07</v>
      </c>
      <c r="L84" s="27">
        <v>71.03</v>
      </c>
      <c r="M84" s="27">
        <v>52.77</v>
      </c>
      <c r="N84" s="72">
        <v>50.16</v>
      </c>
      <c r="O84" s="88"/>
    </row>
    <row r="85" spans="1:15" ht="15.5" x14ac:dyDescent="0.35">
      <c r="E85" s="25" t="s">
        <v>47</v>
      </c>
      <c r="F85" s="9"/>
      <c r="G85" s="9"/>
      <c r="I85" s="2"/>
      <c r="J85" s="31"/>
      <c r="L85" s="27"/>
      <c r="M85" s="27"/>
      <c r="N85" s="72"/>
      <c r="O85" s="88"/>
    </row>
    <row r="86" spans="1:15" ht="15.5" x14ac:dyDescent="0.35">
      <c r="E86" s="73" t="s">
        <v>48</v>
      </c>
      <c r="F86" s="9"/>
      <c r="G86" s="9"/>
      <c r="I86" s="12"/>
      <c r="J86" s="31">
        <v>13.77</v>
      </c>
      <c r="K86" s="31">
        <v>19.079999999999998</v>
      </c>
      <c r="L86" s="31">
        <v>28.94</v>
      </c>
      <c r="M86" s="27">
        <v>42.06</v>
      </c>
      <c r="N86" s="72">
        <v>48.5</v>
      </c>
      <c r="O86" s="88"/>
    </row>
    <row r="87" spans="1:15" ht="15.5" x14ac:dyDescent="0.35">
      <c r="E87" s="73" t="s">
        <v>49</v>
      </c>
      <c r="F87" s="9"/>
      <c r="G87" s="9"/>
      <c r="I87" s="12"/>
      <c r="J87" s="31">
        <v>-0.13</v>
      </c>
      <c r="K87" s="31">
        <v>-1.08</v>
      </c>
      <c r="L87" s="31">
        <v>-4.42</v>
      </c>
      <c r="M87" s="72">
        <v>-7.31</v>
      </c>
      <c r="N87" s="72">
        <v>-1.48</v>
      </c>
      <c r="O87" s="88"/>
    </row>
    <row r="88" spans="1:15" x14ac:dyDescent="0.35">
      <c r="E88" s="73" t="s">
        <v>86</v>
      </c>
      <c r="J88" s="31">
        <v>0.05</v>
      </c>
      <c r="K88" s="31">
        <v>0.21</v>
      </c>
      <c r="L88" s="31">
        <v>0.31</v>
      </c>
      <c r="M88" s="70" t="s">
        <v>45</v>
      </c>
      <c r="N88" s="72">
        <v>16.75</v>
      </c>
      <c r="O88" s="88"/>
    </row>
    <row r="89" spans="1:15" x14ac:dyDescent="0.35">
      <c r="E89" s="73" t="s">
        <v>87</v>
      </c>
      <c r="J89" s="31" t="s">
        <v>45</v>
      </c>
      <c r="K89" s="31">
        <v>-0.11</v>
      </c>
      <c r="L89" s="31">
        <v>5.01</v>
      </c>
      <c r="M89" s="72">
        <v>-1.04</v>
      </c>
      <c r="N89" s="72" t="s">
        <v>45</v>
      </c>
      <c r="O89" s="88"/>
    </row>
    <row r="90" spans="1:15" x14ac:dyDescent="0.35">
      <c r="E90" s="73" t="s">
        <v>72</v>
      </c>
      <c r="J90" s="31">
        <v>-0.8</v>
      </c>
      <c r="K90" s="31">
        <v>1.49</v>
      </c>
      <c r="L90" s="31" t="s">
        <v>45</v>
      </c>
      <c r="M90" s="70" t="s">
        <v>45</v>
      </c>
      <c r="N90" s="72" t="s">
        <v>45</v>
      </c>
      <c r="O90" s="88"/>
    </row>
    <row r="91" spans="1:15" ht="15.5" x14ac:dyDescent="0.35">
      <c r="E91" s="73" t="s">
        <v>88</v>
      </c>
      <c r="F91" s="7"/>
      <c r="G91" s="7"/>
      <c r="I91" s="12"/>
      <c r="J91" s="31">
        <v>6.9</v>
      </c>
      <c r="K91" s="31">
        <v>11.69</v>
      </c>
      <c r="L91" s="31">
        <v>16.2</v>
      </c>
      <c r="M91" s="27">
        <v>22.87</v>
      </c>
      <c r="N91" s="72">
        <v>27.79</v>
      </c>
      <c r="O91" s="88"/>
    </row>
    <row r="92" spans="1:15" ht="15.5" x14ac:dyDescent="0.35">
      <c r="E92" s="73" t="s">
        <v>50</v>
      </c>
      <c r="F92" s="7"/>
      <c r="G92" s="7"/>
      <c r="I92" s="12"/>
      <c r="J92" s="31">
        <v>-6.65</v>
      </c>
      <c r="K92" s="31">
        <v>-7.06</v>
      </c>
      <c r="L92" s="31" t="s">
        <v>45</v>
      </c>
      <c r="M92" s="70" t="s">
        <v>45</v>
      </c>
      <c r="N92" s="72">
        <v>1.82</v>
      </c>
      <c r="O92" s="88"/>
    </row>
    <row r="93" spans="1:15" ht="15.5" x14ac:dyDescent="0.35">
      <c r="E93" s="45" t="s">
        <v>389</v>
      </c>
      <c r="F93" s="8"/>
      <c r="G93" s="8"/>
      <c r="H93" s="10"/>
      <c r="I93" s="16"/>
      <c r="J93" s="50">
        <f>SUM(J86:J92)</f>
        <v>13.139999999999999</v>
      </c>
      <c r="K93" s="50">
        <f>SUM(K86:K92)</f>
        <v>24.220000000000002</v>
      </c>
      <c r="L93" s="50">
        <f>SUM(L86:L92)</f>
        <v>46.040000000000006</v>
      </c>
      <c r="M93" s="50">
        <f>SUM(M86:M92)</f>
        <v>56.58</v>
      </c>
      <c r="N93" s="50">
        <f>SUM(N86:N92)</f>
        <v>93.38</v>
      </c>
      <c r="O93" s="88"/>
    </row>
    <row r="94" spans="1:15" ht="15.5" x14ac:dyDescent="0.35">
      <c r="E94" s="25" t="s">
        <v>51</v>
      </c>
      <c r="F94" s="7"/>
      <c r="G94" s="9"/>
      <c r="I94" s="12"/>
      <c r="J94" s="364">
        <f>J84+J93</f>
        <v>57.35</v>
      </c>
      <c r="K94" s="364">
        <f>K84+K93</f>
        <v>81.290000000000006</v>
      </c>
      <c r="L94" s="364">
        <f>L84+L93</f>
        <v>117.07000000000001</v>
      </c>
      <c r="M94" s="364">
        <f>M84+M93</f>
        <v>109.35</v>
      </c>
      <c r="N94" s="364">
        <f>N84+N93</f>
        <v>143.54</v>
      </c>
      <c r="O94" s="88"/>
    </row>
    <row r="95" spans="1:15" ht="15.5" x14ac:dyDescent="0.35">
      <c r="E95" s="25" t="s">
        <v>89</v>
      </c>
      <c r="H95" s="14"/>
      <c r="I95" s="13"/>
      <c r="J95" s="31"/>
      <c r="K95" s="27"/>
      <c r="N95" s="27"/>
      <c r="O95" s="88"/>
    </row>
    <row r="96" spans="1:15" x14ac:dyDescent="0.35">
      <c r="E96" t="s">
        <v>81</v>
      </c>
      <c r="J96" s="66">
        <v>15.84</v>
      </c>
      <c r="K96" s="31">
        <v>-80.56</v>
      </c>
      <c r="L96" s="31">
        <v>-98.38</v>
      </c>
      <c r="M96" s="31">
        <v>-89.47</v>
      </c>
      <c r="N96" s="31">
        <v>-120.17</v>
      </c>
      <c r="O96" s="88"/>
    </row>
    <row r="97" spans="3:15" ht="15.5" x14ac:dyDescent="0.35">
      <c r="E97" t="s">
        <v>80</v>
      </c>
      <c r="F97" s="7"/>
      <c r="G97" s="7"/>
      <c r="I97" s="13"/>
      <c r="J97" s="66">
        <v>-3.37</v>
      </c>
      <c r="K97" s="27">
        <v>-31.16</v>
      </c>
      <c r="L97" s="31">
        <v>-66.98</v>
      </c>
      <c r="M97" s="31">
        <v>-104.28</v>
      </c>
      <c r="N97" s="27">
        <v>78.66</v>
      </c>
      <c r="O97" s="88"/>
    </row>
    <row r="98" spans="3:15" ht="15.5" x14ac:dyDescent="0.35">
      <c r="E98" t="s">
        <v>90</v>
      </c>
      <c r="F98" s="7"/>
      <c r="G98" s="7"/>
      <c r="I98" s="13"/>
      <c r="J98" s="66">
        <v>-21.62</v>
      </c>
      <c r="K98" s="27">
        <v>-16.32</v>
      </c>
      <c r="L98" s="31">
        <v>-30.07</v>
      </c>
      <c r="M98" s="31">
        <v>-36.21</v>
      </c>
      <c r="N98" s="86" t="s">
        <v>45</v>
      </c>
      <c r="O98" s="88"/>
    </row>
    <row r="99" spans="3:15" x14ac:dyDescent="0.35">
      <c r="E99" t="s">
        <v>83</v>
      </c>
      <c r="H99" s="17"/>
      <c r="J99" s="67"/>
      <c r="K99" s="70"/>
      <c r="L99" s="67"/>
      <c r="M99" s="31">
        <v>-3.31</v>
      </c>
      <c r="N99" s="27">
        <v>29.15</v>
      </c>
      <c r="O99" s="88"/>
    </row>
    <row r="100" spans="3:15" x14ac:dyDescent="0.35">
      <c r="E100" t="s">
        <v>84</v>
      </c>
      <c r="H100" s="17"/>
      <c r="J100" s="67"/>
      <c r="K100" s="70"/>
      <c r="L100" s="67"/>
      <c r="M100" s="67" t="s">
        <v>45</v>
      </c>
      <c r="N100" s="27">
        <v>-2.87</v>
      </c>
      <c r="O100" s="88"/>
    </row>
    <row r="101" spans="3:15" x14ac:dyDescent="0.35">
      <c r="E101" t="s">
        <v>77</v>
      </c>
      <c r="H101" s="17"/>
      <c r="J101" s="67"/>
      <c r="K101" s="67"/>
      <c r="L101" s="67"/>
      <c r="M101" s="31">
        <v>17.88</v>
      </c>
      <c r="N101" s="27">
        <v>-7.55</v>
      </c>
      <c r="O101" s="88"/>
    </row>
    <row r="102" spans="3:15" x14ac:dyDescent="0.35">
      <c r="E102" t="s">
        <v>78</v>
      </c>
      <c r="H102" s="17"/>
      <c r="J102" s="67"/>
      <c r="K102" s="67"/>
      <c r="L102" s="67"/>
      <c r="M102" s="31">
        <v>3.15</v>
      </c>
      <c r="N102" s="27">
        <v>18.329999999999998</v>
      </c>
      <c r="O102" s="88"/>
    </row>
    <row r="103" spans="3:15" x14ac:dyDescent="0.35">
      <c r="C103" s="5"/>
      <c r="D103" s="5"/>
      <c r="E103" t="s">
        <v>73</v>
      </c>
      <c r="F103" s="21"/>
      <c r="G103" s="21"/>
      <c r="I103" s="5"/>
      <c r="J103" s="66">
        <v>36.89</v>
      </c>
      <c r="K103" s="27">
        <v>39.86</v>
      </c>
      <c r="L103" s="31">
        <v>53.2</v>
      </c>
      <c r="M103" s="31">
        <v>-10.89</v>
      </c>
      <c r="N103" s="27">
        <v>113.24</v>
      </c>
      <c r="O103" s="88"/>
    </row>
    <row r="104" spans="3:15" x14ac:dyDescent="0.35">
      <c r="C104" s="5"/>
      <c r="D104" s="5"/>
      <c r="E104" t="s">
        <v>74</v>
      </c>
      <c r="F104" s="21"/>
      <c r="G104" s="21"/>
      <c r="I104" s="5"/>
      <c r="J104" s="67"/>
      <c r="K104" s="67"/>
      <c r="L104" s="67"/>
      <c r="M104" s="31">
        <v>-0.12</v>
      </c>
      <c r="N104" s="27">
        <v>-1.55</v>
      </c>
      <c r="O104" s="88"/>
    </row>
    <row r="105" spans="3:15" x14ac:dyDescent="0.35">
      <c r="C105" s="5"/>
      <c r="D105" s="5"/>
      <c r="E105" t="s">
        <v>75</v>
      </c>
      <c r="F105" s="21"/>
      <c r="G105" s="21"/>
      <c r="I105" s="5"/>
      <c r="J105" s="67"/>
      <c r="K105" s="67"/>
      <c r="L105" s="67"/>
      <c r="M105" s="31">
        <v>9.1300000000000008</v>
      </c>
      <c r="N105" s="27">
        <v>0.35</v>
      </c>
      <c r="O105" s="88"/>
    </row>
    <row r="106" spans="3:15" x14ac:dyDescent="0.35">
      <c r="C106" s="5"/>
      <c r="D106" s="5"/>
      <c r="E106" t="s">
        <v>76</v>
      </c>
      <c r="F106" s="21"/>
      <c r="G106" s="21"/>
      <c r="I106" s="5"/>
      <c r="J106" s="67"/>
      <c r="K106" s="67"/>
      <c r="L106" s="31">
        <v>-0.39</v>
      </c>
      <c r="M106" s="31">
        <v>75.81</v>
      </c>
      <c r="N106" s="27">
        <v>-43</v>
      </c>
      <c r="O106" s="88"/>
    </row>
    <row r="107" spans="3:15" x14ac:dyDescent="0.35">
      <c r="C107" s="5"/>
      <c r="D107" s="5"/>
      <c r="E107" t="s">
        <v>79</v>
      </c>
      <c r="F107" s="21"/>
      <c r="G107" s="21"/>
      <c r="I107" s="5"/>
      <c r="J107" s="66">
        <v>8.85</v>
      </c>
      <c r="K107" s="72">
        <v>18.100000000000001</v>
      </c>
      <c r="L107" s="31">
        <v>6.72</v>
      </c>
      <c r="M107" s="31">
        <v>9.5500000000000007</v>
      </c>
      <c r="N107" s="27">
        <v>0.15</v>
      </c>
      <c r="O107" s="88"/>
    </row>
    <row r="108" spans="3:15" x14ac:dyDescent="0.35">
      <c r="C108" s="5"/>
      <c r="D108" s="5"/>
      <c r="E108" s="48" t="s">
        <v>389</v>
      </c>
      <c r="F108" s="358"/>
      <c r="G108" s="358"/>
      <c r="H108" s="10"/>
      <c r="I108" s="362"/>
      <c r="J108" s="65">
        <f>SUM(J96:J107)</f>
        <v>36.589999999999996</v>
      </c>
      <c r="K108" s="65">
        <f>SUM(K96:K107)</f>
        <v>-70.079999999999984</v>
      </c>
      <c r="L108" s="65">
        <f>SUM(L96:L107)</f>
        <v>-135.9</v>
      </c>
      <c r="M108" s="65">
        <f>SUM(M96:M107)</f>
        <v>-128.76</v>
      </c>
      <c r="N108" s="65">
        <f>SUM(N96:N107)</f>
        <v>64.739999999999995</v>
      </c>
      <c r="O108" s="88"/>
    </row>
    <row r="109" spans="3:15" ht="15.5" x14ac:dyDescent="0.35">
      <c r="E109" s="73" t="s">
        <v>82</v>
      </c>
      <c r="H109" s="9"/>
      <c r="I109" s="12"/>
      <c r="J109" s="363">
        <f>J94+J108</f>
        <v>93.94</v>
      </c>
      <c r="K109" s="363">
        <f>K94+K108</f>
        <v>11.210000000000022</v>
      </c>
      <c r="L109" s="363">
        <f>L94+L108</f>
        <v>-18.829999999999998</v>
      </c>
      <c r="M109" s="363">
        <f>M94+M108</f>
        <v>-19.409999999999997</v>
      </c>
      <c r="N109" s="363">
        <f>N94+N108</f>
        <v>208.27999999999997</v>
      </c>
      <c r="O109" s="88"/>
    </row>
    <row r="110" spans="3:15" ht="15.5" x14ac:dyDescent="0.35">
      <c r="E110" t="s">
        <v>91</v>
      </c>
      <c r="H110" s="9"/>
      <c r="I110" s="12"/>
      <c r="J110" s="66">
        <v>-10.37</v>
      </c>
      <c r="K110" s="66">
        <v>-9.8000000000000007</v>
      </c>
      <c r="L110" s="87">
        <v>-11.52</v>
      </c>
      <c r="M110" s="31">
        <v>-9.75</v>
      </c>
      <c r="N110" s="66">
        <v>-12.3</v>
      </c>
      <c r="O110" s="88"/>
    </row>
    <row r="111" spans="3:15" ht="15.5" x14ac:dyDescent="0.35">
      <c r="E111" s="48" t="s">
        <v>92</v>
      </c>
      <c r="F111" s="10"/>
      <c r="G111" s="10"/>
      <c r="H111" s="46"/>
      <c r="I111" s="16"/>
      <c r="J111" s="65">
        <f>SUM(J109:J110)</f>
        <v>83.57</v>
      </c>
      <c r="K111" s="65">
        <f>SUM(K109:K110)</f>
        <v>1.4100000000000215</v>
      </c>
      <c r="L111" s="65">
        <f>SUM(L109:L110)</f>
        <v>-30.349999999999998</v>
      </c>
      <c r="M111" s="65">
        <f>SUM(M109:M110)</f>
        <v>-29.159999999999997</v>
      </c>
      <c r="N111" s="65">
        <f>SUM(N109:N110)</f>
        <v>195.97999999999996</v>
      </c>
      <c r="O111" s="88"/>
    </row>
    <row r="112" spans="3:15" ht="15.5" x14ac:dyDescent="0.35">
      <c r="H112" s="9"/>
      <c r="I112" s="12"/>
      <c r="J112" s="31"/>
      <c r="K112" s="27"/>
      <c r="L112" s="27"/>
      <c r="M112" s="27"/>
      <c r="N112" s="27"/>
      <c r="O112" s="88"/>
    </row>
    <row r="113" spans="3:15" ht="15.5" x14ac:dyDescent="0.35">
      <c r="C113" s="43" t="s">
        <v>52</v>
      </c>
      <c r="D113" s="43"/>
      <c r="H113" s="9"/>
      <c r="I113" s="12"/>
      <c r="J113" s="31"/>
      <c r="K113" s="27"/>
      <c r="L113" s="27"/>
      <c r="M113" s="27"/>
      <c r="N113" s="27"/>
      <c r="O113" s="88"/>
    </row>
    <row r="114" spans="3:15" ht="13" customHeight="1" x14ac:dyDescent="0.35">
      <c r="E114" t="s">
        <v>68</v>
      </c>
      <c r="H114" s="9"/>
      <c r="I114" s="12"/>
      <c r="J114" s="66"/>
      <c r="K114" s="31">
        <v>-80.760000000000005</v>
      </c>
      <c r="L114" s="31">
        <v>4.7</v>
      </c>
      <c r="M114" s="67"/>
      <c r="N114" s="27">
        <v>-0.45</v>
      </c>
      <c r="O114" s="88"/>
    </row>
    <row r="115" spans="3:15" ht="15.5" x14ac:dyDescent="0.35">
      <c r="E115" t="s">
        <v>121</v>
      </c>
      <c r="H115" s="9"/>
      <c r="I115" s="12"/>
      <c r="K115" s="67" t="s">
        <v>45</v>
      </c>
      <c r="L115" s="67" t="s">
        <v>45</v>
      </c>
      <c r="M115" s="31">
        <v>7.31</v>
      </c>
      <c r="N115" s="27">
        <v>1.0900000000000001</v>
      </c>
      <c r="O115" s="88"/>
    </row>
    <row r="116" spans="3:15" ht="15.5" x14ac:dyDescent="0.35">
      <c r="D116" s="68" t="s">
        <v>45</v>
      </c>
      <c r="E116" s="63" t="s">
        <v>70</v>
      </c>
      <c r="H116" s="9"/>
      <c r="I116" s="12"/>
      <c r="J116" s="66">
        <v>0.13</v>
      </c>
      <c r="K116" s="31">
        <v>0.94</v>
      </c>
      <c r="L116" s="31">
        <v>0.67</v>
      </c>
      <c r="M116" s="69">
        <v>76.36</v>
      </c>
      <c r="N116" s="83"/>
      <c r="O116" s="88"/>
    </row>
    <row r="117" spans="3:15" ht="15.5" x14ac:dyDescent="0.35">
      <c r="D117" s="68" t="s">
        <v>45</v>
      </c>
      <c r="E117" t="s">
        <v>71</v>
      </c>
      <c r="H117" s="9"/>
      <c r="I117" s="12"/>
      <c r="J117" s="66"/>
      <c r="K117" s="31">
        <v>0.14000000000000001</v>
      </c>
      <c r="L117" s="31">
        <v>3.75</v>
      </c>
      <c r="M117" s="31">
        <v>3.52</v>
      </c>
      <c r="N117" s="70"/>
      <c r="O117" s="88"/>
    </row>
    <row r="118" spans="3:15" ht="15.5" x14ac:dyDescent="0.35">
      <c r="E118" t="s">
        <v>53</v>
      </c>
      <c r="H118" s="9"/>
      <c r="I118" s="12"/>
      <c r="J118" s="66">
        <v>0.34</v>
      </c>
      <c r="K118" s="27">
        <v>-0.19</v>
      </c>
      <c r="L118" s="27">
        <v>0.16</v>
      </c>
      <c r="M118" s="70"/>
      <c r="N118" s="70"/>
      <c r="O118" s="88"/>
    </row>
    <row r="119" spans="3:15" ht="15.5" x14ac:dyDescent="0.35">
      <c r="E119" t="s">
        <v>54</v>
      </c>
      <c r="H119" s="9"/>
      <c r="I119" s="12"/>
      <c r="J119" s="66">
        <v>-23.06</v>
      </c>
      <c r="K119" s="27">
        <v>-170.28</v>
      </c>
      <c r="L119" s="27">
        <v>-77.27</v>
      </c>
      <c r="M119" s="27">
        <v>-302.76</v>
      </c>
      <c r="N119" s="27">
        <v>-317.67</v>
      </c>
      <c r="O119" s="88"/>
    </row>
    <row r="120" spans="3:15" ht="15.5" x14ac:dyDescent="0.35">
      <c r="E120" t="s">
        <v>55</v>
      </c>
      <c r="H120" s="9"/>
      <c r="I120" s="12"/>
      <c r="J120" s="66">
        <v>-111.96</v>
      </c>
      <c r="K120" s="27">
        <v>104.04</v>
      </c>
      <c r="L120" s="27">
        <v>-25.22</v>
      </c>
      <c r="M120" s="367"/>
      <c r="N120" s="70"/>
      <c r="O120" s="88"/>
    </row>
    <row r="121" spans="3:15" ht="15.5" x14ac:dyDescent="0.35">
      <c r="E121" t="s">
        <v>69</v>
      </c>
      <c r="H121" s="9"/>
      <c r="I121" s="12"/>
      <c r="J121" s="66" t="s">
        <v>45</v>
      </c>
      <c r="K121" s="27">
        <v>0.11</v>
      </c>
      <c r="L121" s="70" t="s">
        <v>45</v>
      </c>
      <c r="M121" s="70" t="s">
        <v>45</v>
      </c>
      <c r="N121" s="27">
        <v>0.48</v>
      </c>
      <c r="O121" s="88"/>
    </row>
    <row r="122" spans="3:15" ht="15.5" x14ac:dyDescent="0.35">
      <c r="E122" s="19" t="s">
        <v>56</v>
      </c>
      <c r="H122" s="9"/>
      <c r="I122" s="12"/>
      <c r="J122" s="66">
        <v>-0.02</v>
      </c>
      <c r="K122" s="66">
        <v>0.17</v>
      </c>
      <c r="L122" s="66">
        <v>-1.25</v>
      </c>
      <c r="M122" s="66">
        <v>-0.01</v>
      </c>
      <c r="N122" s="66">
        <v>-0.04</v>
      </c>
      <c r="O122" s="88"/>
    </row>
    <row r="123" spans="3:15" ht="15.5" x14ac:dyDescent="0.35">
      <c r="D123" s="48" t="s">
        <v>57</v>
      </c>
      <c r="F123" s="10"/>
      <c r="G123" s="10"/>
      <c r="H123" s="46"/>
      <c r="I123" s="16"/>
      <c r="J123" s="50">
        <f>SUM(J114:J122)</f>
        <v>-134.57</v>
      </c>
      <c r="K123" s="50">
        <f>SUM(K114:K122)</f>
        <v>-145.83000000000001</v>
      </c>
      <c r="L123" s="50">
        <f>SUM(L114:L122)</f>
        <v>-94.46</v>
      </c>
      <c r="M123" s="50">
        <f>SUM(M114:M122)</f>
        <v>-215.57999999999998</v>
      </c>
      <c r="N123" s="50">
        <f>SUM(N114:N122)</f>
        <v>-316.59000000000003</v>
      </c>
      <c r="O123" s="88"/>
    </row>
    <row r="124" spans="3:15" ht="15.5" x14ac:dyDescent="0.35">
      <c r="H124" s="9"/>
      <c r="I124" s="12"/>
      <c r="J124" s="31"/>
      <c r="K124" s="27"/>
      <c r="L124" s="27"/>
      <c r="M124" s="27"/>
      <c r="N124" s="27"/>
      <c r="O124" s="88"/>
    </row>
    <row r="125" spans="3:15" ht="15.5" x14ac:dyDescent="0.35">
      <c r="C125" s="43" t="s">
        <v>58</v>
      </c>
      <c r="D125" s="43"/>
      <c r="H125" s="9"/>
      <c r="I125" s="12"/>
      <c r="J125" s="31"/>
      <c r="K125" s="27"/>
      <c r="L125" s="27"/>
      <c r="M125" s="27"/>
      <c r="N125" s="27"/>
      <c r="O125" s="88"/>
    </row>
    <row r="126" spans="3:15" ht="15.5" x14ac:dyDescent="0.35">
      <c r="E126" t="s">
        <v>59</v>
      </c>
      <c r="H126" s="9"/>
      <c r="I126" s="12"/>
      <c r="J126" s="89"/>
      <c r="K126" s="27">
        <v>225</v>
      </c>
      <c r="L126" s="70"/>
      <c r="M126" s="27">
        <v>246.65</v>
      </c>
      <c r="N126" s="70"/>
      <c r="O126" s="88"/>
    </row>
    <row r="127" spans="3:15" ht="15.5" x14ac:dyDescent="0.35">
      <c r="E127" t="s">
        <v>60</v>
      </c>
      <c r="F127" s="7"/>
      <c r="G127" s="7"/>
      <c r="I127" s="13"/>
      <c r="J127" s="67"/>
      <c r="K127" s="27">
        <v>-7.31</v>
      </c>
      <c r="L127" s="71"/>
      <c r="M127" s="71"/>
      <c r="N127" s="71"/>
      <c r="O127" s="88"/>
    </row>
    <row r="128" spans="3:15" ht="15.5" x14ac:dyDescent="0.35">
      <c r="E128" t="s">
        <v>61</v>
      </c>
      <c r="H128" s="9"/>
      <c r="I128" s="12"/>
      <c r="J128" s="66">
        <v>97.84</v>
      </c>
      <c r="K128" s="27">
        <v>38.880000000000003</v>
      </c>
      <c r="L128" s="27">
        <v>226.08</v>
      </c>
      <c r="M128" s="27">
        <v>66.62</v>
      </c>
      <c r="N128" s="27">
        <v>244.31</v>
      </c>
      <c r="O128" s="88"/>
    </row>
    <row r="129" spans="1:17" ht="15.5" x14ac:dyDescent="0.35">
      <c r="E129" t="s">
        <v>62</v>
      </c>
      <c r="F129" s="18"/>
      <c r="G129" s="18"/>
      <c r="I129" s="2"/>
      <c r="J129" s="66">
        <v>-28.24</v>
      </c>
      <c r="K129" s="31">
        <v>-43.04</v>
      </c>
      <c r="L129" s="31">
        <v>-89.99</v>
      </c>
      <c r="M129" s="31">
        <v>-35.29</v>
      </c>
      <c r="N129" s="31">
        <v>-71.8</v>
      </c>
      <c r="O129" s="88"/>
    </row>
    <row r="130" spans="1:17" ht="15.5" x14ac:dyDescent="0.35">
      <c r="E130" t="s">
        <v>63</v>
      </c>
      <c r="H130" s="9"/>
      <c r="I130" s="12"/>
      <c r="J130" s="66">
        <v>-13.77</v>
      </c>
      <c r="K130" s="27">
        <v>-19.079999999999998</v>
      </c>
      <c r="L130" s="27">
        <v>-28.94</v>
      </c>
      <c r="M130" s="27">
        <v>-42.06</v>
      </c>
      <c r="N130" s="27">
        <v>-47.84</v>
      </c>
      <c r="O130" s="88"/>
    </row>
    <row r="131" spans="1:17" ht="15.5" x14ac:dyDescent="0.35">
      <c r="E131" t="s">
        <v>64</v>
      </c>
      <c r="H131" s="9"/>
      <c r="I131" s="12"/>
      <c r="J131" s="66">
        <v>-0.43</v>
      </c>
      <c r="K131" s="27">
        <v>-0.77</v>
      </c>
      <c r="L131" s="70"/>
      <c r="M131" s="27">
        <v>8.09</v>
      </c>
      <c r="N131" s="27">
        <v>-6.32</v>
      </c>
      <c r="O131" s="88"/>
    </row>
    <row r="132" spans="1:17" ht="15.5" x14ac:dyDescent="0.35">
      <c r="E132" t="s">
        <v>65</v>
      </c>
      <c r="H132" s="9"/>
      <c r="I132" s="12"/>
      <c r="J132" s="66">
        <v>-4.67</v>
      </c>
      <c r="K132" s="66">
        <v>-5.25</v>
      </c>
      <c r="L132" s="66">
        <v>-6.86</v>
      </c>
      <c r="M132" s="66">
        <v>-7.48</v>
      </c>
      <c r="N132" s="66">
        <v>-5.28</v>
      </c>
      <c r="O132" s="88"/>
    </row>
    <row r="133" spans="1:17" ht="15.5" x14ac:dyDescent="0.35">
      <c r="C133" s="48" t="s">
        <v>66</v>
      </c>
      <c r="D133" s="10"/>
      <c r="E133" s="10"/>
      <c r="F133" s="10"/>
      <c r="G133" s="10"/>
      <c r="H133" s="10"/>
      <c r="I133" s="16"/>
      <c r="J133" s="50">
        <f>SUM(J126:J132)</f>
        <v>50.730000000000011</v>
      </c>
      <c r="K133" s="50">
        <f>SUM(K126:K132)</f>
        <v>188.42999999999998</v>
      </c>
      <c r="L133" s="50">
        <f>SUM(L126:L132)</f>
        <v>100.29000000000003</v>
      </c>
      <c r="M133" s="50">
        <f>SUM(M126:M132)</f>
        <v>236.52999999999997</v>
      </c>
      <c r="N133" s="50">
        <f>SUM(N126:N132)</f>
        <v>113.07</v>
      </c>
      <c r="O133" s="88"/>
    </row>
    <row r="134" spans="1:17" ht="15.5" x14ac:dyDescent="0.35">
      <c r="H134" s="9"/>
      <c r="I134" s="12"/>
      <c r="J134" s="64"/>
      <c r="L134" s="27"/>
      <c r="M134" s="27"/>
      <c r="N134" s="27"/>
      <c r="O134" s="88"/>
    </row>
    <row r="135" spans="1:17" ht="15.5" x14ac:dyDescent="0.35">
      <c r="C135" s="48" t="s">
        <v>67</v>
      </c>
      <c r="D135" s="10"/>
      <c r="E135" s="10"/>
      <c r="F135" s="10"/>
      <c r="G135" s="10"/>
      <c r="H135" s="46"/>
      <c r="I135" s="16"/>
      <c r="J135" s="65">
        <f>SUM(J111,J123,J133)</f>
        <v>-0.26999999999998892</v>
      </c>
      <c r="K135" s="65">
        <f>SUM(K111,K123,K133)</f>
        <v>44.009999999999991</v>
      </c>
      <c r="L135" s="65">
        <f>SUM(L111,L123,L133)</f>
        <v>-24.519999999999953</v>
      </c>
      <c r="M135" s="65">
        <f>SUM(M111,M123,M133)</f>
        <v>-8.210000000000008</v>
      </c>
      <c r="N135" s="65">
        <f>SUM(N111,N123,N133)</f>
        <v>-7.5400000000000773</v>
      </c>
      <c r="O135" s="88"/>
    </row>
    <row r="136" spans="1:17" ht="15.5" x14ac:dyDescent="0.35">
      <c r="D136" t="s">
        <v>122</v>
      </c>
      <c r="H136" s="9"/>
      <c r="I136" s="12"/>
      <c r="J136" s="366">
        <v>0.51</v>
      </c>
      <c r="K136" s="366">
        <v>0.51</v>
      </c>
      <c r="L136" s="366">
        <v>0.14000000000000001</v>
      </c>
      <c r="M136" s="366">
        <v>0.19</v>
      </c>
      <c r="N136" s="366">
        <v>0.2</v>
      </c>
      <c r="O136" s="88"/>
    </row>
    <row r="137" spans="1:17" ht="15.5" x14ac:dyDescent="0.35">
      <c r="D137" t="s">
        <v>123</v>
      </c>
      <c r="H137" s="9"/>
      <c r="I137" s="12"/>
      <c r="J137" s="366">
        <v>0.7</v>
      </c>
      <c r="K137" s="366">
        <v>0.7</v>
      </c>
      <c r="L137" s="366">
        <v>45.08</v>
      </c>
      <c r="M137" s="366">
        <v>20.51</v>
      </c>
      <c r="N137" s="366">
        <v>12.3</v>
      </c>
      <c r="O137" s="88"/>
    </row>
    <row r="138" spans="1:17" ht="15.5" x14ac:dyDescent="0.35">
      <c r="D138" s="25" t="s">
        <v>124</v>
      </c>
      <c r="H138" s="9"/>
      <c r="I138" s="12"/>
      <c r="J138" s="370">
        <f>SUM(J136:J137)</f>
        <v>1.21</v>
      </c>
      <c r="K138" s="370">
        <f>SUM(K136:K137)</f>
        <v>1.21</v>
      </c>
      <c r="L138" s="370">
        <f>SUM(L136:L137)</f>
        <v>45.22</v>
      </c>
      <c r="M138" s="370">
        <f>SUM(M136:M137)</f>
        <v>20.700000000000003</v>
      </c>
      <c r="N138" s="370">
        <f>SUM(N136:N137)</f>
        <v>12.5</v>
      </c>
      <c r="O138" s="88"/>
    </row>
    <row r="139" spans="1:17" ht="15.5" x14ac:dyDescent="0.35">
      <c r="D139" t="s">
        <v>122</v>
      </c>
      <c r="F139" s="7"/>
      <c r="G139" s="7"/>
      <c r="I139" s="13"/>
      <c r="J139" s="366">
        <v>0.51</v>
      </c>
      <c r="K139" s="366">
        <v>32.799999999999997</v>
      </c>
      <c r="L139" s="366">
        <v>0.19</v>
      </c>
      <c r="M139" s="366">
        <v>0.2</v>
      </c>
      <c r="N139" s="366">
        <v>0.23</v>
      </c>
      <c r="O139" s="88"/>
    </row>
    <row r="140" spans="1:17" ht="15.5" x14ac:dyDescent="0.35">
      <c r="D140" t="s">
        <v>125</v>
      </c>
      <c r="H140" s="9"/>
      <c r="I140" s="12"/>
      <c r="J140" s="366">
        <v>0.7</v>
      </c>
      <c r="K140" s="366">
        <v>12.42</v>
      </c>
      <c r="L140" s="366">
        <v>20.51</v>
      </c>
      <c r="M140" s="366">
        <v>12.3</v>
      </c>
      <c r="N140" s="366">
        <v>4.7300000000000004</v>
      </c>
      <c r="O140" s="88"/>
    </row>
    <row r="141" spans="1:17" ht="15" thickBot="1" x14ac:dyDescent="0.4">
      <c r="A141" s="10"/>
      <c r="D141" s="25" t="s">
        <v>126</v>
      </c>
      <c r="J141" s="370">
        <f>SUM(J139:J140)</f>
        <v>1.21</v>
      </c>
      <c r="K141" s="370">
        <f>SUM(K139:K140)</f>
        <v>45.22</v>
      </c>
      <c r="L141" s="370">
        <f>SUM(L139:L140)</f>
        <v>20.700000000000003</v>
      </c>
      <c r="M141" s="370">
        <f>SUM(M139:M140)</f>
        <v>12.5</v>
      </c>
      <c r="N141" s="371">
        <f>SUM(N139:N140)</f>
        <v>4.9600000000000009</v>
      </c>
      <c r="O141" s="108"/>
    </row>
    <row r="142" spans="1:17" x14ac:dyDescent="0.35">
      <c r="B142" s="10"/>
      <c r="C142" s="10"/>
      <c r="D142" s="10"/>
      <c r="E142" s="10"/>
      <c r="F142" s="10"/>
      <c r="G142" s="10"/>
      <c r="H142" s="10"/>
      <c r="I142" s="10"/>
      <c r="J142" s="10"/>
      <c r="K142" s="50"/>
      <c r="L142" s="10"/>
      <c r="M142" s="10"/>
    </row>
    <row r="144" spans="1:17" x14ac:dyDescent="0.35">
      <c r="C144" s="3" t="s">
        <v>128</v>
      </c>
      <c r="D144" s="19"/>
      <c r="E144" s="4"/>
      <c r="F144" s="4"/>
      <c r="G144" s="4"/>
      <c r="H144" s="4"/>
      <c r="I144" s="4"/>
      <c r="J144" s="4"/>
      <c r="K144" s="3">
        <f>J4</f>
        <v>2021</v>
      </c>
      <c r="L144" s="3">
        <f>K4</f>
        <v>2022</v>
      </c>
      <c r="M144" s="3">
        <f>L4</f>
        <v>2023</v>
      </c>
      <c r="N144" s="3">
        <f>M4</f>
        <v>2024</v>
      </c>
      <c r="O144" s="3">
        <f>N4</f>
        <v>2025</v>
      </c>
      <c r="P144" s="101" t="s">
        <v>129</v>
      </c>
      <c r="Q144" s="111" t="s">
        <v>131</v>
      </c>
    </row>
    <row r="145" spans="2:24" x14ac:dyDescent="0.35">
      <c r="C145" s="5"/>
      <c r="D145" s="14" t="s">
        <v>130</v>
      </c>
      <c r="E145" s="5"/>
      <c r="G145" s="14"/>
      <c r="H145" s="14"/>
      <c r="I145" s="5"/>
      <c r="J145" s="5"/>
      <c r="K145" s="99">
        <v>179</v>
      </c>
      <c r="L145" s="100">
        <v>270.85000000000002</v>
      </c>
      <c r="M145" s="99">
        <v>354.86</v>
      </c>
      <c r="N145" s="100">
        <v>505.98</v>
      </c>
      <c r="O145" s="99">
        <v>557.61</v>
      </c>
      <c r="P145" s="109">
        <f>_xlfn.RRI(5,K145,O145)</f>
        <v>0.25514963617675113</v>
      </c>
      <c r="Q145" s="96">
        <f>O145*(1+P145)</f>
        <v>699.88398862851818</v>
      </c>
    </row>
    <row r="146" spans="2:24" x14ac:dyDescent="0.35">
      <c r="C146" s="5"/>
      <c r="D146" t="s">
        <v>132</v>
      </c>
      <c r="E146" s="5"/>
      <c r="G146" s="14"/>
      <c r="H146" s="14"/>
      <c r="I146" s="5"/>
      <c r="J146" s="5"/>
      <c r="K146" s="99">
        <v>157.41</v>
      </c>
      <c r="L146" s="99">
        <v>216.4</v>
      </c>
      <c r="M146" s="100">
        <v>331.32</v>
      </c>
      <c r="N146" s="100">
        <v>195.44</v>
      </c>
      <c r="O146" s="99">
        <v>216.04</v>
      </c>
      <c r="P146" s="110">
        <f>_xlfn.RRI(5,K146,O146)</f>
        <v>6.5369771164335511E-2</v>
      </c>
      <c r="Q146" s="114">
        <f>O146*(1+P146)</f>
        <v>230.16248536234303</v>
      </c>
    </row>
    <row r="147" spans="2:24" ht="15" thickBot="1" x14ac:dyDescent="0.4">
      <c r="C147" s="5"/>
      <c r="E147" s="5"/>
      <c r="F147" s="14"/>
      <c r="G147" s="14"/>
      <c r="H147" s="14"/>
      <c r="I147" s="5"/>
      <c r="J147" s="5"/>
      <c r="K147" s="102">
        <f>SUM(K145:K146)</f>
        <v>336.40999999999997</v>
      </c>
      <c r="L147" s="102">
        <f t="shared" ref="L147:Q147" si="0">SUM(L145:L146)</f>
        <v>487.25</v>
      </c>
      <c r="M147" s="102">
        <f t="shared" si="0"/>
        <v>686.18000000000006</v>
      </c>
      <c r="N147" s="102">
        <f t="shared" si="0"/>
        <v>701.42000000000007</v>
      </c>
      <c r="O147" s="102">
        <f t="shared" si="0"/>
        <v>773.65</v>
      </c>
      <c r="P147" s="98"/>
      <c r="Q147" s="112">
        <f t="shared" si="0"/>
        <v>930.04647399086116</v>
      </c>
    </row>
    <row r="148" spans="2:24" ht="15.5" thickTop="1" thickBot="1" x14ac:dyDescent="0.4">
      <c r="B148" s="77"/>
      <c r="C148" s="103"/>
      <c r="D148" s="77"/>
      <c r="E148" s="103"/>
      <c r="F148" s="104"/>
      <c r="G148" s="104"/>
      <c r="H148" s="104"/>
      <c r="I148" s="103"/>
      <c r="J148" s="103"/>
      <c r="K148" s="105"/>
      <c r="L148" s="105"/>
      <c r="M148" s="105"/>
      <c r="N148" s="105"/>
      <c r="O148" s="105"/>
      <c r="P148" s="106"/>
      <c r="Q148" s="107"/>
    </row>
    <row r="149" spans="2:24" x14ac:dyDescent="0.35">
      <c r="C149" s="5"/>
      <c r="E149" s="5"/>
      <c r="F149" s="14"/>
      <c r="G149" s="14"/>
      <c r="H149" s="14"/>
      <c r="I149" s="5"/>
      <c r="J149" s="5"/>
      <c r="K149" s="116"/>
      <c r="L149" s="116"/>
      <c r="M149" s="116"/>
      <c r="N149" s="116"/>
      <c r="O149" s="116"/>
      <c r="P149" s="97"/>
      <c r="Q149" s="113"/>
    </row>
    <row r="150" spans="2:24" x14ac:dyDescent="0.35">
      <c r="D150" s="5"/>
      <c r="F150" s="14"/>
      <c r="G150" s="14"/>
      <c r="H150" s="14"/>
      <c r="I150" s="5"/>
      <c r="J150" s="5"/>
    </row>
    <row r="151" spans="2:24" ht="15" thickBot="1" x14ac:dyDescent="0.4">
      <c r="C151" s="117" t="s">
        <v>143</v>
      </c>
      <c r="D151" s="117"/>
      <c r="E151" s="117"/>
      <c r="F151" s="118"/>
      <c r="G151" s="117"/>
      <c r="H151" s="117"/>
      <c r="I151" s="117"/>
      <c r="J151" s="117"/>
      <c r="K151" s="118">
        <v>44896</v>
      </c>
      <c r="L151" s="118">
        <v>44986</v>
      </c>
      <c r="M151" s="118">
        <v>45078</v>
      </c>
      <c r="N151" s="118">
        <v>45170</v>
      </c>
      <c r="O151" s="118">
        <v>45261</v>
      </c>
      <c r="P151" s="118">
        <v>45352</v>
      </c>
      <c r="Q151" s="118">
        <v>45444</v>
      </c>
      <c r="R151" s="118">
        <v>45536</v>
      </c>
      <c r="S151" s="118">
        <v>45627</v>
      </c>
      <c r="T151" s="118">
        <v>45717</v>
      </c>
      <c r="U151" s="118">
        <v>45809</v>
      </c>
      <c r="V151" s="118">
        <v>45901</v>
      </c>
      <c r="W151" s="118">
        <v>45992</v>
      </c>
      <c r="X151" s="120">
        <v>46082</v>
      </c>
    </row>
    <row r="152" spans="2:24" x14ac:dyDescent="0.35">
      <c r="E152" t="s">
        <v>138</v>
      </c>
      <c r="K152">
        <v>186.25</v>
      </c>
      <c r="L152">
        <v>203.92</v>
      </c>
      <c r="M152">
        <v>164.88</v>
      </c>
      <c r="N152">
        <v>161.71</v>
      </c>
      <c r="O152">
        <v>164.44</v>
      </c>
      <c r="P152">
        <v>199.65</v>
      </c>
      <c r="Q152">
        <v>179.95</v>
      </c>
      <c r="R152">
        <v>193.36</v>
      </c>
      <c r="S152">
        <v>201.43</v>
      </c>
      <c r="T152">
        <v>202.82</v>
      </c>
      <c r="U152">
        <v>186.73</v>
      </c>
      <c r="V152">
        <v>208.66</v>
      </c>
      <c r="W152">
        <v>220.02</v>
      </c>
      <c r="X152" s="90">
        <f>W152*(1+W153)</f>
        <v>231.99846832167168</v>
      </c>
    </row>
    <row r="153" spans="2:24" x14ac:dyDescent="0.35">
      <c r="E153" t="s">
        <v>142</v>
      </c>
      <c r="K153" s="115"/>
      <c r="L153" s="115"/>
      <c r="M153" s="115"/>
      <c r="N153" s="115"/>
      <c r="O153" s="115"/>
      <c r="P153" s="115"/>
      <c r="Q153" s="115"/>
      <c r="R153" s="115"/>
      <c r="S153" s="115"/>
      <c r="T153" s="115">
        <f>T152/S152-1</f>
        <v>6.9006602790051552E-3</v>
      </c>
      <c r="U153" s="115">
        <f>U152/T152-1</f>
        <v>-7.9331426880978273E-2</v>
      </c>
      <c r="V153" s="115">
        <f>V152/U152-1</f>
        <v>0.11744229636373382</v>
      </c>
      <c r="W153" s="115">
        <f>W152/V152-1</f>
        <v>5.4442633949966623E-2</v>
      </c>
    </row>
    <row r="154" spans="2:24" x14ac:dyDescent="0.35">
      <c r="E154" t="s">
        <v>139</v>
      </c>
      <c r="K154">
        <v>156.13</v>
      </c>
      <c r="L154">
        <v>171.33</v>
      </c>
      <c r="M154">
        <v>136.82</v>
      </c>
      <c r="N154">
        <v>135.79</v>
      </c>
      <c r="O154">
        <v>144.15</v>
      </c>
      <c r="P154">
        <v>163.86</v>
      </c>
      <c r="Q154">
        <v>149.15</v>
      </c>
      <c r="R154">
        <v>158.85</v>
      </c>
      <c r="S154">
        <v>166.79</v>
      </c>
      <c r="T154">
        <v>166.44</v>
      </c>
      <c r="U154">
        <v>155.22</v>
      </c>
      <c r="V154">
        <v>178.7</v>
      </c>
      <c r="W154">
        <v>188.12</v>
      </c>
    </row>
    <row r="155" spans="2:24" x14ac:dyDescent="0.35">
      <c r="E155" t="s">
        <v>133</v>
      </c>
      <c r="K155">
        <v>30.12</v>
      </c>
      <c r="L155">
        <v>32.590000000000003</v>
      </c>
      <c r="M155">
        <v>28.06</v>
      </c>
      <c r="N155">
        <v>25.92</v>
      </c>
      <c r="O155">
        <v>20.29</v>
      </c>
      <c r="P155">
        <v>35.79</v>
      </c>
      <c r="Q155">
        <v>30.8</v>
      </c>
      <c r="R155">
        <v>34.51</v>
      </c>
      <c r="S155">
        <v>34.64</v>
      </c>
      <c r="T155">
        <v>36.380000000000003</v>
      </c>
      <c r="U155">
        <v>31.51</v>
      </c>
      <c r="V155">
        <v>29.96</v>
      </c>
      <c r="W155">
        <v>31.9</v>
      </c>
    </row>
    <row r="156" spans="2:24" x14ac:dyDescent="0.35">
      <c r="E156" t="s">
        <v>140</v>
      </c>
      <c r="K156">
        <v>1.4</v>
      </c>
      <c r="L156">
        <v>1.75</v>
      </c>
      <c r="M156">
        <v>1.81</v>
      </c>
      <c r="N156">
        <v>1.94</v>
      </c>
      <c r="O156">
        <v>1.67</v>
      </c>
      <c r="P156">
        <v>2.23</v>
      </c>
      <c r="Q156">
        <v>1.59</v>
      </c>
      <c r="R156">
        <v>0.84</v>
      </c>
      <c r="S156">
        <v>1.1399999999999999</v>
      </c>
      <c r="T156">
        <v>-13.44</v>
      </c>
      <c r="U156">
        <v>1.23</v>
      </c>
      <c r="V156">
        <v>1.98</v>
      </c>
      <c r="W156">
        <v>2.2000000000000002</v>
      </c>
    </row>
    <row r="157" spans="2:24" x14ac:dyDescent="0.35">
      <c r="E157" t="s">
        <v>134</v>
      </c>
      <c r="K157">
        <v>6.66</v>
      </c>
      <c r="L157">
        <v>9.34</v>
      </c>
      <c r="M157">
        <v>10.76</v>
      </c>
      <c r="N157">
        <v>11.09</v>
      </c>
      <c r="O157">
        <v>10.52</v>
      </c>
      <c r="P157">
        <v>9.69</v>
      </c>
      <c r="Q157">
        <v>9.82</v>
      </c>
      <c r="R157">
        <v>12.75</v>
      </c>
      <c r="S157">
        <v>13.43</v>
      </c>
      <c r="T157">
        <v>12.5</v>
      </c>
      <c r="U157">
        <v>12.67</v>
      </c>
      <c r="V157">
        <v>19.48</v>
      </c>
      <c r="W157">
        <v>21.51</v>
      </c>
    </row>
    <row r="158" spans="2:24" x14ac:dyDescent="0.35">
      <c r="E158" t="s">
        <v>135</v>
      </c>
      <c r="K158">
        <v>4.1399999999999997</v>
      </c>
      <c r="L158">
        <v>4.29</v>
      </c>
      <c r="M158">
        <v>5.48</v>
      </c>
      <c r="N158">
        <v>5.79</v>
      </c>
      <c r="O158">
        <v>5.74</v>
      </c>
      <c r="P158">
        <v>5.86</v>
      </c>
      <c r="Q158">
        <v>6.81</v>
      </c>
      <c r="R158">
        <v>7.12</v>
      </c>
      <c r="S158">
        <v>7.1</v>
      </c>
      <c r="T158">
        <v>6.76</v>
      </c>
      <c r="U158">
        <v>5.78</v>
      </c>
      <c r="V158">
        <v>7.31</v>
      </c>
      <c r="W158">
        <v>6.83</v>
      </c>
    </row>
    <row r="159" spans="2:24" x14ac:dyDescent="0.35">
      <c r="E159" t="s">
        <v>136</v>
      </c>
      <c r="K159">
        <v>20.72</v>
      </c>
      <c r="L159">
        <v>20.71</v>
      </c>
      <c r="M159">
        <v>13.63</v>
      </c>
      <c r="N159">
        <v>10.98</v>
      </c>
      <c r="O159">
        <v>5.7</v>
      </c>
      <c r="P159">
        <v>22.47</v>
      </c>
      <c r="Q159">
        <v>15.76</v>
      </c>
      <c r="R159">
        <v>15.48</v>
      </c>
      <c r="S159">
        <v>15.25</v>
      </c>
      <c r="T159">
        <v>3.68</v>
      </c>
      <c r="U159">
        <v>14.29</v>
      </c>
      <c r="V159">
        <v>5.15</v>
      </c>
      <c r="W159">
        <v>5.76</v>
      </c>
    </row>
    <row r="160" spans="2:24" x14ac:dyDescent="0.35">
      <c r="E160" t="s">
        <v>137</v>
      </c>
      <c r="K160" s="119">
        <v>6.0295199999999989</v>
      </c>
      <c r="L160" s="119">
        <v>6.3993900000000004</v>
      </c>
      <c r="M160" s="119">
        <v>3.8804610000000004</v>
      </c>
      <c r="N160" s="119">
        <v>3.0601260000000003</v>
      </c>
      <c r="O160" s="119">
        <v>4.6398000000000001</v>
      </c>
      <c r="P160" s="119">
        <v>5.5411020000000004</v>
      </c>
      <c r="Q160" s="119">
        <v>4.2898719999999999</v>
      </c>
      <c r="R160" s="119">
        <v>4.5201599999999997</v>
      </c>
      <c r="S160" s="119">
        <v>5.2399000000000004</v>
      </c>
      <c r="T160" s="119">
        <v>1.2699680000000002</v>
      </c>
      <c r="U160" s="119">
        <v>4.0297799999999997</v>
      </c>
      <c r="V160" s="119">
        <v>1.7798400000000003</v>
      </c>
      <c r="W160" s="119">
        <v>2.070144</v>
      </c>
    </row>
    <row r="161" spans="3:24" x14ac:dyDescent="0.35">
      <c r="C161" s="19"/>
      <c r="D161" s="19"/>
      <c r="E161" s="19" t="s">
        <v>141</v>
      </c>
      <c r="F161" s="19"/>
      <c r="G161" s="19"/>
      <c r="H161" s="19"/>
      <c r="I161" s="19"/>
      <c r="J161" s="19"/>
      <c r="K161" s="19">
        <v>14.69</v>
      </c>
      <c r="L161" s="19">
        <v>14.31</v>
      </c>
      <c r="M161" s="19">
        <v>9.75</v>
      </c>
      <c r="N161" s="19">
        <v>7.92</v>
      </c>
      <c r="O161" s="19">
        <v>1.06</v>
      </c>
      <c r="P161" s="19">
        <v>16.93</v>
      </c>
      <c r="Q161" s="19">
        <v>11.47</v>
      </c>
      <c r="R161" s="19">
        <v>10.96</v>
      </c>
      <c r="S161" s="19">
        <v>10.01</v>
      </c>
      <c r="T161" s="19">
        <v>2.41</v>
      </c>
      <c r="U161" s="19">
        <v>10.26</v>
      </c>
      <c r="V161" s="19">
        <v>3.37</v>
      </c>
      <c r="W161" s="19">
        <v>3.69</v>
      </c>
      <c r="X161" s="19"/>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96"/>
  <sheetViews>
    <sheetView showGridLines="0" zoomScale="84" zoomScaleNormal="84" workbookViewId="0">
      <pane xSplit="7" ySplit="5" topLeftCell="H6" activePane="bottomRight" state="frozen"/>
      <selection pane="topRight" activeCell="H1" sqref="H1"/>
      <selection pane="bottomLeft" activeCell="A6" sqref="A6"/>
      <selection pane="bottomRight" activeCell="M16" sqref="M16"/>
    </sheetView>
  </sheetViews>
  <sheetFormatPr defaultColWidth="8.81640625" defaultRowHeight="14.5" outlineLevelRow="1" x14ac:dyDescent="0.35"/>
  <cols>
    <col min="1" max="2" width="2.36328125" customWidth="1"/>
    <col min="3" max="3" width="3.81640625" customWidth="1"/>
    <col min="4" max="4" width="35.36328125" customWidth="1"/>
    <col min="5" max="5" width="18.36328125" customWidth="1"/>
    <col min="6" max="6" width="20.453125" customWidth="1"/>
    <col min="7" max="7" width="8" customWidth="1"/>
    <col min="8" max="8" width="15.36328125" customWidth="1"/>
    <col min="9" max="9" width="12.81640625" customWidth="1"/>
    <col min="10" max="14" width="15.1796875" customWidth="1"/>
    <col min="15" max="15" width="14.36328125" bestFit="1" customWidth="1"/>
    <col min="16" max="16" width="11.54296875" bestFit="1" customWidth="1"/>
    <col min="17" max="18" width="11.36328125" bestFit="1" customWidth="1"/>
    <col min="19" max="19" width="10.54296875" customWidth="1"/>
    <col min="20" max="20" width="11.453125" bestFit="1" customWidth="1"/>
    <col min="21" max="21" width="11.36328125" bestFit="1" customWidth="1"/>
    <col min="22" max="22" width="8.90625" customWidth="1"/>
    <col min="23" max="24" width="11.36328125" bestFit="1" customWidth="1"/>
  </cols>
  <sheetData>
    <row r="1" spans="1:22" ht="32" x14ac:dyDescent="0.7">
      <c r="A1" s="161" t="str">
        <f>'Historical '!C1</f>
        <v>Neogen Chemicals Limited</v>
      </c>
      <c r="B1" s="160"/>
      <c r="C1" s="23"/>
      <c r="D1" s="23"/>
      <c r="E1" s="23"/>
      <c r="F1" s="23"/>
      <c r="G1" s="23"/>
      <c r="H1" s="162" t="s">
        <v>144</v>
      </c>
      <c r="I1" s="163"/>
      <c r="J1" s="163"/>
      <c r="K1" s="163"/>
      <c r="L1" s="163"/>
      <c r="M1" s="165" t="s">
        <v>145</v>
      </c>
      <c r="N1" s="166"/>
      <c r="O1" s="166"/>
      <c r="P1" s="166"/>
      <c r="Q1" s="166"/>
      <c r="R1" s="166"/>
      <c r="S1" s="166"/>
      <c r="T1" s="166"/>
      <c r="U1" s="166"/>
      <c r="V1" s="166"/>
    </row>
    <row r="2" spans="1:22" ht="15.5" x14ac:dyDescent="0.35">
      <c r="A2" s="24" t="s">
        <v>146</v>
      </c>
      <c r="B2" s="23"/>
      <c r="C2" s="23"/>
      <c r="D2" s="23"/>
      <c r="E2" s="23"/>
      <c r="F2" s="23"/>
      <c r="G2" s="23"/>
      <c r="H2" s="164">
        <v>2021</v>
      </c>
      <c r="I2" s="164">
        <f t="shared" ref="I2:N2" si="0">H2+1</f>
        <v>2022</v>
      </c>
      <c r="J2" s="164">
        <f t="shared" si="0"/>
        <v>2023</v>
      </c>
      <c r="K2" s="164">
        <f t="shared" si="0"/>
        <v>2024</v>
      </c>
      <c r="L2" s="164">
        <f t="shared" si="0"/>
        <v>2025</v>
      </c>
      <c r="M2" s="167">
        <f t="shared" si="0"/>
        <v>2026</v>
      </c>
      <c r="N2" s="168">
        <f t="shared" si="0"/>
        <v>2027</v>
      </c>
      <c r="O2" s="168">
        <f t="shared" ref="O2:V2" si="1">N2+1</f>
        <v>2028</v>
      </c>
      <c r="P2" s="168">
        <f t="shared" si="1"/>
        <v>2029</v>
      </c>
      <c r="Q2" s="168">
        <f t="shared" si="1"/>
        <v>2030</v>
      </c>
      <c r="R2" s="168">
        <f t="shared" si="1"/>
        <v>2031</v>
      </c>
      <c r="S2" s="168">
        <f t="shared" si="1"/>
        <v>2032</v>
      </c>
      <c r="T2" s="168">
        <f t="shared" si="1"/>
        <v>2033</v>
      </c>
      <c r="U2" s="168">
        <f t="shared" si="1"/>
        <v>2034</v>
      </c>
      <c r="V2" s="168">
        <f t="shared" si="1"/>
        <v>2035</v>
      </c>
    </row>
    <row r="3" spans="1:22" x14ac:dyDescent="0.35">
      <c r="A3" s="121"/>
      <c r="B3" s="121"/>
      <c r="C3" s="121"/>
      <c r="D3" s="121" t="s">
        <v>147</v>
      </c>
      <c r="E3" s="121"/>
      <c r="F3" s="121"/>
      <c r="G3" s="121"/>
      <c r="H3" s="122" t="str">
        <f t="shared" ref="H3:M3" si="2">IF(H68=0,"OK","ERROR")</f>
        <v>OK</v>
      </c>
      <c r="I3" s="122" t="str">
        <f t="shared" si="2"/>
        <v>OK</v>
      </c>
      <c r="J3" s="122" t="str">
        <f t="shared" si="2"/>
        <v>OK</v>
      </c>
      <c r="K3" s="122" t="str">
        <f t="shared" si="2"/>
        <v>OK</v>
      </c>
      <c r="L3" s="122" t="str">
        <f t="shared" si="2"/>
        <v>OK</v>
      </c>
      <c r="M3" s="122" t="str">
        <f t="shared" si="2"/>
        <v>OK</v>
      </c>
      <c r="N3" s="122" t="str">
        <f t="shared" ref="N3:V3" si="3">IF(N68=0,"OK","ERROR")</f>
        <v>OK</v>
      </c>
      <c r="O3" s="122" t="str">
        <f t="shared" si="3"/>
        <v>OK</v>
      </c>
      <c r="P3" s="122" t="str">
        <f t="shared" si="3"/>
        <v>OK</v>
      </c>
      <c r="Q3" s="122" t="str">
        <f t="shared" si="3"/>
        <v>OK</v>
      </c>
      <c r="R3" s="122" t="str">
        <f t="shared" si="3"/>
        <v>OK</v>
      </c>
      <c r="S3" s="122" t="str">
        <f t="shared" si="3"/>
        <v>OK</v>
      </c>
      <c r="T3" s="122" t="str">
        <f t="shared" si="3"/>
        <v>OK</v>
      </c>
      <c r="U3" s="122" t="str">
        <f t="shared" si="3"/>
        <v>OK</v>
      </c>
      <c r="V3" s="122" t="str">
        <f t="shared" si="3"/>
        <v>OK</v>
      </c>
    </row>
    <row r="4" spans="1:22" ht="15.5" x14ac:dyDescent="0.35">
      <c r="A4" s="1" t="s">
        <v>148</v>
      </c>
      <c r="B4" s="1"/>
      <c r="C4" s="123"/>
      <c r="D4" s="1"/>
      <c r="E4" s="1"/>
      <c r="F4" s="1"/>
      <c r="G4" s="124">
        <v>1</v>
      </c>
      <c r="H4" s="1"/>
      <c r="I4" s="1"/>
      <c r="J4" s="1"/>
      <c r="K4" s="1"/>
      <c r="L4" s="1"/>
      <c r="M4" s="1"/>
      <c r="N4" s="1"/>
      <c r="O4" s="1"/>
      <c r="P4" s="1"/>
      <c r="Q4" s="1"/>
    </row>
    <row r="5" spans="1:22" ht="20.5" x14ac:dyDescent="0.45">
      <c r="A5" s="169" t="s">
        <v>149</v>
      </c>
      <c r="B5" s="170"/>
      <c r="C5" s="170"/>
      <c r="D5" s="170"/>
      <c r="E5" s="170"/>
      <c r="F5" s="170"/>
      <c r="G5" s="170"/>
      <c r="H5" s="170"/>
      <c r="I5" s="170"/>
      <c r="J5" s="170"/>
      <c r="K5" s="170"/>
      <c r="L5" s="170"/>
      <c r="M5" s="170"/>
      <c r="N5" s="170"/>
      <c r="O5" s="170"/>
      <c r="P5" s="170"/>
      <c r="Q5" s="170"/>
      <c r="R5" s="170"/>
      <c r="S5" s="170"/>
      <c r="T5" s="170"/>
      <c r="U5" s="170"/>
      <c r="V5" s="170"/>
    </row>
    <row r="6" spans="1:22" outlineLevel="1" x14ac:dyDescent="0.35">
      <c r="A6" s="14"/>
      <c r="B6" s="14"/>
      <c r="C6" s="14"/>
      <c r="D6" s="14"/>
      <c r="F6" s="14"/>
      <c r="G6" s="14"/>
      <c r="H6" s="14"/>
      <c r="I6" s="14"/>
      <c r="J6" s="14"/>
      <c r="K6" s="14"/>
      <c r="L6" s="14"/>
      <c r="M6" s="14"/>
      <c r="N6" s="14"/>
      <c r="O6" s="14"/>
      <c r="P6" s="14"/>
      <c r="Q6" s="14"/>
    </row>
    <row r="7" spans="1:22" outlineLevel="1" x14ac:dyDescent="0.35">
      <c r="A7" s="14"/>
      <c r="B7" s="125" t="s">
        <v>150</v>
      </c>
      <c r="C7" s="19"/>
      <c r="D7" s="19"/>
      <c r="E7" s="398" t="s">
        <v>397</v>
      </c>
      <c r="F7" s="455" t="s">
        <v>151</v>
      </c>
      <c r="G7" s="126">
        <f>IF(E7=Scenarios!D5,1,IF(Model!E7=Scenarios!D6,2,3))</f>
        <v>1</v>
      </c>
      <c r="H7" s="127"/>
      <c r="I7" s="127"/>
      <c r="J7" s="127"/>
      <c r="K7" s="127"/>
      <c r="L7" s="127"/>
      <c r="M7" s="127"/>
      <c r="N7" s="127"/>
      <c r="O7" s="127"/>
      <c r="P7" s="127"/>
      <c r="Q7" s="127"/>
      <c r="R7" s="127"/>
      <c r="S7" s="127"/>
      <c r="T7" s="127"/>
      <c r="U7" s="127"/>
      <c r="V7" s="127"/>
    </row>
    <row r="8" spans="1:22" outlineLevel="1" x14ac:dyDescent="0.35">
      <c r="A8" s="14"/>
      <c r="B8" s="14" t="s">
        <v>152</v>
      </c>
      <c r="F8" s="178" t="s">
        <v>153</v>
      </c>
      <c r="G8" s="14"/>
      <c r="H8" s="101" t="s">
        <v>45</v>
      </c>
      <c r="I8" s="128">
        <f>I24/H24-1</f>
        <v>0.44838143931512131</v>
      </c>
      <c r="J8" s="128">
        <f>J24/I24-1</f>
        <v>0.40827090815802958</v>
      </c>
      <c r="K8" s="128">
        <f>K24/J24-1</f>
        <v>6.5434725582209641E-3</v>
      </c>
      <c r="L8" s="128">
        <f>L24/K24-1</f>
        <v>0.12580537738717479</v>
      </c>
      <c r="M8" s="399">
        <f>CHOOSE($G$7,Scenarios!H5,Scenarios!H6,Scenarios!H7)</f>
        <v>7.0000000000000007E-2</v>
      </c>
      <c r="N8" s="399">
        <f>CHOOSE($G$7,Scenarios!I5,Scenarios!I6,Scenarios!I7)</f>
        <v>6.5799999999999997E-2</v>
      </c>
      <c r="O8" s="399">
        <f>CHOOSE($G$7,Scenarios!J5,Scenarios!J6,Scenarios!J7)</f>
        <v>6.1851999999999997E-2</v>
      </c>
      <c r="P8" s="399">
        <f>CHOOSE($G$7,Scenarios!K5,Scenarios!K6,Scenarios!K7)</f>
        <v>5.8140879999999992E-2</v>
      </c>
      <c r="Q8" s="399">
        <f>CHOOSE($G$7,Scenarios!L5,Scenarios!L6,Scenarios!L7)</f>
        <v>5.4652427199999992E-2</v>
      </c>
      <c r="R8" s="399">
        <f>CHOOSE($G$7,Scenarios!M5,Scenarios!M6,Scenarios!M7)</f>
        <v>5.1373281567999987E-2</v>
      </c>
      <c r="S8" s="399">
        <f>CHOOSE($G$7,Scenarios!N5,Scenarios!N6,Scenarios!N7)</f>
        <v>4.8290884673919988E-2</v>
      </c>
      <c r="T8" s="399">
        <f>CHOOSE($G$7,Scenarios!O5,Scenarios!O6,Scenarios!O7)</f>
        <v>4.5393431593484787E-2</v>
      </c>
      <c r="U8" s="399">
        <f>CHOOSE($G$7,Scenarios!P5,Scenarios!P6,Scenarios!P7)</f>
        <v>4.2669825697875696E-2</v>
      </c>
      <c r="V8" s="399">
        <f>CHOOSE($G$7,Scenarios!Q5,Scenarios!Q6,Scenarios!Q7)</f>
        <v>4.0109636156003152E-2</v>
      </c>
    </row>
    <row r="9" spans="1:22" outlineLevel="1" x14ac:dyDescent="0.35">
      <c r="A9" s="14"/>
      <c r="B9" s="14" t="s">
        <v>154</v>
      </c>
      <c r="E9" s="14"/>
      <c r="F9" s="178" t="s">
        <v>153</v>
      </c>
      <c r="G9" s="14"/>
      <c r="H9" s="128">
        <f>-Model!H25/Model!H24</f>
        <v>0.58746767337475103</v>
      </c>
      <c r="I9" s="128">
        <f>-Model!I25/Model!I24</f>
        <v>0.56433042585941506</v>
      </c>
      <c r="J9" s="128">
        <f>-Model!J25/Model!J24</f>
        <v>0.5661925442303769</v>
      </c>
      <c r="K9" s="128">
        <f>-Model!K25/Model!K24</f>
        <v>0.55379558978962462</v>
      </c>
      <c r="L9" s="128">
        <f>-Model!L25/Model!L24</f>
        <v>0.54408662997067758</v>
      </c>
      <c r="M9" s="128">
        <f>+AVERAGE(H9:L9)</f>
        <v>0.56317457264496906</v>
      </c>
      <c r="N9" s="128">
        <f t="shared" ref="N9:N14" si="4">M9</f>
        <v>0.56317457264496906</v>
      </c>
      <c r="O9" s="128">
        <f t="shared" ref="O9:V9" si="5">N9</f>
        <v>0.56317457264496906</v>
      </c>
      <c r="P9" s="128">
        <f t="shared" si="5"/>
        <v>0.56317457264496906</v>
      </c>
      <c r="Q9" s="128">
        <f t="shared" si="5"/>
        <v>0.56317457264496906</v>
      </c>
      <c r="R9" s="128">
        <f t="shared" si="5"/>
        <v>0.56317457264496906</v>
      </c>
      <c r="S9" s="128">
        <f t="shared" si="5"/>
        <v>0.56317457264496906</v>
      </c>
      <c r="T9" s="128">
        <f t="shared" si="5"/>
        <v>0.56317457264496906</v>
      </c>
      <c r="U9" s="128">
        <f t="shared" si="5"/>
        <v>0.56317457264496906</v>
      </c>
      <c r="V9" s="128">
        <f t="shared" si="5"/>
        <v>0.56317457264496906</v>
      </c>
    </row>
    <row r="10" spans="1:22" outlineLevel="1" x14ac:dyDescent="0.35">
      <c r="A10" s="14"/>
      <c r="B10" s="14" t="s">
        <v>155</v>
      </c>
      <c r="E10" s="14"/>
      <c r="F10" s="178" t="s">
        <v>153</v>
      </c>
      <c r="G10" s="14"/>
      <c r="H10" s="128">
        <f>-H28/H24</f>
        <v>5.9659344252548971E-2</v>
      </c>
      <c r="I10" s="128">
        <f>-I28/I24</f>
        <v>6.4648537711646997E-2</v>
      </c>
      <c r="J10" s="128">
        <f>-J28/J24</f>
        <v>6.8232825206214112E-2</v>
      </c>
      <c r="K10" s="128">
        <f>-K28/K24</f>
        <v>8.9767906525547655E-2</v>
      </c>
      <c r="L10" s="128">
        <f>-L28/L24</f>
        <v>8.3389063223416854E-2</v>
      </c>
      <c r="M10" s="128">
        <f>AVERAGE(H10:L10)</f>
        <v>7.3139535383874923E-2</v>
      </c>
      <c r="N10" s="128">
        <f t="shared" si="4"/>
        <v>7.3139535383874923E-2</v>
      </c>
      <c r="O10" s="128">
        <f t="shared" ref="O10:V10" si="6">N10</f>
        <v>7.3139535383874923E-2</v>
      </c>
      <c r="P10" s="128">
        <f t="shared" si="6"/>
        <v>7.3139535383874923E-2</v>
      </c>
      <c r="Q10" s="128">
        <f t="shared" si="6"/>
        <v>7.3139535383874923E-2</v>
      </c>
      <c r="R10" s="128">
        <f t="shared" si="6"/>
        <v>7.3139535383874923E-2</v>
      </c>
      <c r="S10" s="128">
        <f t="shared" si="6"/>
        <v>7.3139535383874923E-2</v>
      </c>
      <c r="T10" s="128">
        <f t="shared" si="6"/>
        <v>7.3139535383874923E-2</v>
      </c>
      <c r="U10" s="128">
        <f t="shared" si="6"/>
        <v>7.3139535383874923E-2</v>
      </c>
      <c r="V10" s="128">
        <f t="shared" si="6"/>
        <v>7.3139535383874923E-2</v>
      </c>
    </row>
    <row r="11" spans="1:22" outlineLevel="1" x14ac:dyDescent="0.35">
      <c r="A11" s="14"/>
      <c r="B11" s="14" t="s">
        <v>156</v>
      </c>
      <c r="E11" s="14"/>
      <c r="F11" s="178" t="s">
        <v>153</v>
      </c>
      <c r="G11" s="14"/>
      <c r="H11" s="128">
        <f>-H29/H24</f>
        <v>0.16155881216372878</v>
      </c>
      <c r="I11" s="128">
        <f>-I29/I24</f>
        <v>0.19330938943047715</v>
      </c>
      <c r="J11" s="128">
        <f>-J29/J24</f>
        <v>0.2029059430470139</v>
      </c>
      <c r="K11" s="128">
        <f>-K29/K24</f>
        <v>0.19709846960198069</v>
      </c>
      <c r="L11" s="128">
        <f>-L29/L24</f>
        <v>0.19720664643242966</v>
      </c>
      <c r="M11" s="128">
        <f>AVERAGE(H11:L11)</f>
        <v>0.19041585213512605</v>
      </c>
      <c r="N11" s="128">
        <f t="shared" si="4"/>
        <v>0.19041585213512605</v>
      </c>
      <c r="O11" s="128">
        <f t="shared" ref="O11:V12" si="7">N11</f>
        <v>0.19041585213512605</v>
      </c>
      <c r="P11" s="128">
        <f t="shared" si="7"/>
        <v>0.19041585213512605</v>
      </c>
      <c r="Q11" s="128">
        <f t="shared" si="7"/>
        <v>0.19041585213512605</v>
      </c>
      <c r="R11" s="128">
        <f t="shared" si="7"/>
        <v>0.19041585213512605</v>
      </c>
      <c r="S11" s="128">
        <f t="shared" si="7"/>
        <v>0.19041585213512605</v>
      </c>
      <c r="T11" s="128">
        <f t="shared" si="7"/>
        <v>0.19041585213512605</v>
      </c>
      <c r="U11" s="128">
        <f t="shared" si="7"/>
        <v>0.19041585213512605</v>
      </c>
      <c r="V11" s="128">
        <f t="shared" si="7"/>
        <v>0.19041585213512605</v>
      </c>
    </row>
    <row r="12" spans="1:22" outlineLevel="1" x14ac:dyDescent="0.35">
      <c r="A12" s="14"/>
      <c r="B12" s="14" t="s">
        <v>157</v>
      </c>
      <c r="E12" s="14"/>
      <c r="F12" s="178" t="s">
        <v>153</v>
      </c>
      <c r="G12" s="14"/>
      <c r="H12" s="487">
        <v>0</v>
      </c>
      <c r="I12" s="128">
        <f>-I31/I24</f>
        <v>2.3991790661877885E-2</v>
      </c>
      <c r="J12" s="128">
        <f>-J31/J24</f>
        <v>2.360896557754525E-2</v>
      </c>
      <c r="K12" s="128">
        <f>-K31/K24</f>
        <v>3.3112774552246371E-2</v>
      </c>
      <c r="L12" s="128">
        <f>-L31/L24</f>
        <v>3.5740007202016567E-2</v>
      </c>
      <c r="M12" s="488">
        <f>L12+0.5%</f>
        <v>4.0740007202016565E-2</v>
      </c>
      <c r="N12" s="399">
        <f t="shared" si="4"/>
        <v>4.0740007202016565E-2</v>
      </c>
      <c r="O12" s="399">
        <f t="shared" si="7"/>
        <v>4.0740007202016565E-2</v>
      </c>
      <c r="P12" s="128">
        <f>O12+0.5%</f>
        <v>4.5740007202016562E-2</v>
      </c>
      <c r="Q12" s="399">
        <f>P12</f>
        <v>4.5740007202016562E-2</v>
      </c>
      <c r="R12" s="399">
        <f t="shared" si="7"/>
        <v>4.5740007202016562E-2</v>
      </c>
      <c r="S12" s="399">
        <f>R12+0.5%</f>
        <v>5.074000720201656E-2</v>
      </c>
      <c r="T12" s="399">
        <f>S12</f>
        <v>5.074000720201656E-2</v>
      </c>
      <c r="U12" s="399">
        <f>T12</f>
        <v>5.074000720201656E-2</v>
      </c>
      <c r="V12" s="399">
        <f>U12+0.5%</f>
        <v>5.5740007202016557E-2</v>
      </c>
    </row>
    <row r="13" spans="1:22" ht="15" customHeight="1" outlineLevel="1" x14ac:dyDescent="0.35">
      <c r="A13" s="14"/>
      <c r="B13" s="14" t="s">
        <v>158</v>
      </c>
      <c r="E13" s="14"/>
      <c r="F13" s="178" t="s">
        <v>153</v>
      </c>
      <c r="G13" s="14"/>
      <c r="H13" s="487">
        <v>0</v>
      </c>
      <c r="I13" s="128">
        <f>-I33/I118</f>
        <v>9.4506909703303776E-2</v>
      </c>
      <c r="J13" s="128">
        <f>-J33/J118</f>
        <v>0.14636860206352417</v>
      </c>
      <c r="K13" s="128">
        <f>-K33/K118</f>
        <v>0.11612048259297092</v>
      </c>
      <c r="L13" s="128">
        <f>-L33/L118</f>
        <v>0.12324346301425558</v>
      </c>
      <c r="M13" s="128">
        <f>AVERAGE(I13:L13)</f>
        <v>0.12005986434351362</v>
      </c>
      <c r="N13" s="128">
        <f t="shared" si="4"/>
        <v>0.12005986434351362</v>
      </c>
      <c r="O13" s="128">
        <f t="shared" ref="O13:V15" si="8">N13</f>
        <v>0.12005986434351362</v>
      </c>
      <c r="P13" s="128">
        <f t="shared" si="8"/>
        <v>0.12005986434351362</v>
      </c>
      <c r="Q13" s="128">
        <f t="shared" si="8"/>
        <v>0.12005986434351362</v>
      </c>
      <c r="R13" s="128">
        <f t="shared" si="8"/>
        <v>0.12005986434351362</v>
      </c>
      <c r="S13" s="128">
        <f t="shared" si="8"/>
        <v>0.12005986434351362</v>
      </c>
      <c r="T13" s="128">
        <f t="shared" si="8"/>
        <v>0.12005986434351362</v>
      </c>
      <c r="U13" s="128">
        <f t="shared" si="8"/>
        <v>0.12005986434351362</v>
      </c>
      <c r="V13" s="128">
        <f t="shared" si="8"/>
        <v>0.12005986434351362</v>
      </c>
    </row>
    <row r="14" spans="1:22" outlineLevel="1" x14ac:dyDescent="0.35">
      <c r="A14" s="14"/>
      <c r="B14" s="14" t="s">
        <v>159</v>
      </c>
      <c r="E14" s="14"/>
      <c r="F14" s="178" t="s">
        <v>153</v>
      </c>
      <c r="G14" s="14"/>
      <c r="H14" s="128">
        <f>H34/H24</f>
        <v>1.5457328854671382E-3</v>
      </c>
      <c r="I14" s="128">
        <f>I34/I24</f>
        <v>2.5654181631605951E-3</v>
      </c>
      <c r="J14" s="128">
        <f>J34/J24</f>
        <v>6.6309131714710427E-3</v>
      </c>
      <c r="K14" s="128">
        <f>K34/K24</f>
        <v>1.1076201369684509E-2</v>
      </c>
      <c r="L14" s="128">
        <f>-L34/L24</f>
        <v>1.2693554195174652E-2</v>
      </c>
      <c r="M14" s="128">
        <f>AVERAGE(H14:L14)</f>
        <v>6.9023639569915874E-3</v>
      </c>
      <c r="N14" s="128">
        <f t="shared" si="4"/>
        <v>6.9023639569915874E-3</v>
      </c>
      <c r="O14" s="128">
        <f t="shared" si="8"/>
        <v>6.9023639569915874E-3</v>
      </c>
      <c r="P14" s="128">
        <f t="shared" si="8"/>
        <v>6.9023639569915874E-3</v>
      </c>
      <c r="Q14" s="128">
        <f t="shared" si="8"/>
        <v>6.9023639569915874E-3</v>
      </c>
      <c r="R14" s="128">
        <f t="shared" si="8"/>
        <v>6.9023639569915874E-3</v>
      </c>
      <c r="S14" s="128">
        <f t="shared" si="8"/>
        <v>6.9023639569915874E-3</v>
      </c>
      <c r="T14" s="128">
        <f t="shared" si="8"/>
        <v>6.9023639569915874E-3</v>
      </c>
      <c r="U14" s="128">
        <f t="shared" si="8"/>
        <v>6.9023639569915874E-3</v>
      </c>
      <c r="V14" s="128">
        <f t="shared" si="8"/>
        <v>6.9023639569915874E-3</v>
      </c>
    </row>
    <row r="15" spans="1:22" outlineLevel="1" x14ac:dyDescent="0.35">
      <c r="A15" s="14"/>
      <c r="B15" s="14" t="s">
        <v>160</v>
      </c>
      <c r="E15" s="14"/>
      <c r="F15" s="178" t="s">
        <v>153</v>
      </c>
      <c r="G15" s="14"/>
      <c r="H15" s="128">
        <f>-H36/H35</f>
        <v>0.29133680162859049</v>
      </c>
      <c r="I15" s="128">
        <f>-I36/I35</f>
        <v>0.21797792185035905</v>
      </c>
      <c r="J15" s="128">
        <f>-J36/J35</f>
        <v>0.29649443896944966</v>
      </c>
      <c r="K15" s="128">
        <f>-K36/K35</f>
        <v>0.32442675762744017</v>
      </c>
      <c r="L15" s="128">
        <f>-L36/L35</f>
        <v>0.30562200956937813</v>
      </c>
      <c r="M15" s="399">
        <f>L15+0.2%</f>
        <v>0.30762200956937813</v>
      </c>
      <c r="N15" s="399">
        <f>M15</f>
        <v>0.30762200956937813</v>
      </c>
      <c r="O15" s="399">
        <f t="shared" si="8"/>
        <v>0.30762200956937813</v>
      </c>
      <c r="P15" s="399">
        <f>O15+0.2%</f>
        <v>0.30962200956937813</v>
      </c>
      <c r="Q15" s="399">
        <f>P15</f>
        <v>0.30962200956937813</v>
      </c>
      <c r="R15" s="399">
        <f t="shared" si="8"/>
        <v>0.30962200956937813</v>
      </c>
      <c r="S15" s="399">
        <f>R15+0.2%</f>
        <v>0.31162200956937813</v>
      </c>
      <c r="T15" s="399">
        <f t="shared" si="8"/>
        <v>0.31162200956937813</v>
      </c>
      <c r="U15" s="399">
        <f t="shared" si="8"/>
        <v>0.31162200956937813</v>
      </c>
      <c r="V15" s="399">
        <f>U15+0.2%</f>
        <v>0.31362200956937814</v>
      </c>
    </row>
    <row r="16" spans="1:22" ht="14" customHeight="1" outlineLevel="1" x14ac:dyDescent="0.35">
      <c r="A16" s="14"/>
      <c r="B16" s="14" t="s">
        <v>393</v>
      </c>
      <c r="E16" s="14"/>
      <c r="F16" s="178"/>
      <c r="G16" s="14"/>
      <c r="H16" s="128">
        <f>-H91/H37</f>
        <v>0.14905841046919863</v>
      </c>
      <c r="I16" s="128">
        <f>-I91/I37</f>
        <v>0.11763387855702433</v>
      </c>
      <c r="J16" s="128">
        <f>-J91/J37</f>
        <v>0.13728236942165309</v>
      </c>
      <c r="K16" s="128">
        <f>-K91/K37</f>
        <v>0.20981767180925698</v>
      </c>
      <c r="L16" s="128">
        <f>-L91/L37</f>
        <v>0.15159345391903545</v>
      </c>
      <c r="M16" s="399">
        <f>AVERAGE(H16:L16)</f>
        <v>0.15307715683523371</v>
      </c>
      <c r="N16" s="399">
        <f>M16</f>
        <v>0.15307715683523371</v>
      </c>
      <c r="O16" s="399">
        <f t="shared" ref="O16:V16" si="9">N16</f>
        <v>0.15307715683523371</v>
      </c>
      <c r="P16" s="399">
        <f t="shared" si="9"/>
        <v>0.15307715683523371</v>
      </c>
      <c r="Q16" s="399">
        <f t="shared" si="9"/>
        <v>0.15307715683523371</v>
      </c>
      <c r="R16" s="399">
        <f t="shared" si="9"/>
        <v>0.15307715683523371</v>
      </c>
      <c r="S16" s="399">
        <f t="shared" si="9"/>
        <v>0.15307715683523371</v>
      </c>
      <c r="T16" s="399">
        <f t="shared" si="9"/>
        <v>0.15307715683523371</v>
      </c>
      <c r="U16" s="399">
        <f t="shared" si="9"/>
        <v>0.15307715683523371</v>
      </c>
      <c r="V16" s="399">
        <f t="shared" si="9"/>
        <v>0.15307715683523371</v>
      </c>
    </row>
    <row r="17" spans="1:22" outlineLevel="1" x14ac:dyDescent="0.35">
      <c r="A17" s="14"/>
      <c r="B17" s="14" t="s">
        <v>161</v>
      </c>
      <c r="E17" s="14"/>
      <c r="F17" s="178" t="s">
        <v>162</v>
      </c>
      <c r="G17" s="14"/>
      <c r="H17" s="129">
        <f>H44/H24*365</f>
        <v>85.225617550013368</v>
      </c>
      <c r="I17" s="129">
        <f>I44/I24*365</f>
        <v>82.026680348896875</v>
      </c>
      <c r="J17" s="129">
        <f>J44/J24*365</f>
        <v>94.353813868081275</v>
      </c>
      <c r="K17" s="129">
        <f>K44/K24*365</f>
        <v>148.86537709760088</v>
      </c>
      <c r="L17" s="129">
        <f>L44/L24*365</f>
        <v>93.986701990843159</v>
      </c>
      <c r="M17" s="129">
        <f>AVERAGE(H17:L17)</f>
        <v>100.89163817108711</v>
      </c>
      <c r="N17" s="129">
        <f>M17</f>
        <v>100.89163817108711</v>
      </c>
      <c r="O17" s="129">
        <f t="shared" ref="O17:V17" si="10">N17</f>
        <v>100.89163817108711</v>
      </c>
      <c r="P17" s="129">
        <f t="shared" si="10"/>
        <v>100.89163817108711</v>
      </c>
      <c r="Q17" s="129">
        <f t="shared" si="10"/>
        <v>100.89163817108711</v>
      </c>
      <c r="R17" s="129">
        <f t="shared" si="10"/>
        <v>100.89163817108711</v>
      </c>
      <c r="S17" s="129">
        <f t="shared" si="10"/>
        <v>100.89163817108711</v>
      </c>
      <c r="T17" s="129">
        <f t="shared" si="10"/>
        <v>100.89163817108711</v>
      </c>
      <c r="U17" s="129">
        <f t="shared" si="10"/>
        <v>100.89163817108711</v>
      </c>
      <c r="V17" s="129">
        <f t="shared" si="10"/>
        <v>100.89163817108711</v>
      </c>
    </row>
    <row r="18" spans="1:22" outlineLevel="1" x14ac:dyDescent="0.35">
      <c r="A18" s="14"/>
      <c r="B18" s="14" t="s">
        <v>163</v>
      </c>
      <c r="E18" s="14"/>
      <c r="F18" s="178" t="s">
        <v>162</v>
      </c>
      <c r="G18" s="14"/>
      <c r="H18" s="129">
        <f>-H45/H25*365</f>
        <v>210.60036431715832</v>
      </c>
      <c r="I18" s="129">
        <f>-I45/I25*365</f>
        <v>258.30217841946398</v>
      </c>
      <c r="J18" s="129">
        <f>-J45/J25*365</f>
        <v>275.24143522689252</v>
      </c>
      <c r="K18" s="129">
        <f>-K45/K25*365</f>
        <v>364.95228633428326</v>
      </c>
      <c r="L18" s="129">
        <f>-L45/L25*365</f>
        <v>266.70555004018343</v>
      </c>
      <c r="M18" s="129">
        <f>+AVERAGE(H18:L18)</f>
        <v>275.16036286759629</v>
      </c>
      <c r="N18" s="129">
        <f>M18</f>
        <v>275.16036286759629</v>
      </c>
      <c r="O18" s="129">
        <f t="shared" ref="O18:V18" si="11">N18</f>
        <v>275.16036286759629</v>
      </c>
      <c r="P18" s="129">
        <f t="shared" si="11"/>
        <v>275.16036286759629</v>
      </c>
      <c r="Q18" s="129">
        <f t="shared" si="11"/>
        <v>275.16036286759629</v>
      </c>
      <c r="R18" s="129">
        <f t="shared" si="11"/>
        <v>275.16036286759629</v>
      </c>
      <c r="S18" s="129">
        <f t="shared" si="11"/>
        <v>275.16036286759629</v>
      </c>
      <c r="T18" s="129">
        <f t="shared" si="11"/>
        <v>275.16036286759629</v>
      </c>
      <c r="U18" s="129">
        <f t="shared" si="11"/>
        <v>275.16036286759629</v>
      </c>
      <c r="V18" s="129">
        <f t="shared" si="11"/>
        <v>275.16036286759629</v>
      </c>
    </row>
    <row r="19" spans="1:22" outlineLevel="1" x14ac:dyDescent="0.35">
      <c r="A19" s="14"/>
      <c r="B19" s="14" t="s">
        <v>164</v>
      </c>
      <c r="E19" s="14"/>
      <c r="F19" s="178" t="s">
        <v>162</v>
      </c>
      <c r="G19" s="14"/>
      <c r="H19" s="129">
        <f>-H56/H25*365</f>
        <v>122.04220007083944</v>
      </c>
      <c r="I19" s="129">
        <f>-I56/I25*365</f>
        <v>131.25504600501873</v>
      </c>
      <c r="J19" s="129">
        <f>-J56/J25*365</f>
        <v>147.07665182363388</v>
      </c>
      <c r="K19" s="129">
        <f>-K56/K25*365</f>
        <v>137.98792125284319</v>
      </c>
      <c r="L19" s="129">
        <f>-L56/L25*365</f>
        <v>227.07027372003972</v>
      </c>
      <c r="M19" s="129">
        <f>+AVERAGE(H19:L19)</f>
        <v>153.08641857447498</v>
      </c>
      <c r="N19" s="129">
        <f>M19</f>
        <v>153.08641857447498</v>
      </c>
      <c r="O19" s="129">
        <f t="shared" ref="O19:V19" si="12">N19</f>
        <v>153.08641857447498</v>
      </c>
      <c r="P19" s="129">
        <f t="shared" si="12"/>
        <v>153.08641857447498</v>
      </c>
      <c r="Q19" s="129">
        <f t="shared" si="12"/>
        <v>153.08641857447498</v>
      </c>
      <c r="R19" s="129">
        <f t="shared" si="12"/>
        <v>153.08641857447498</v>
      </c>
      <c r="S19" s="129">
        <f t="shared" si="12"/>
        <v>153.08641857447498</v>
      </c>
      <c r="T19" s="129">
        <f t="shared" si="12"/>
        <v>153.08641857447498</v>
      </c>
      <c r="U19" s="129">
        <f t="shared" si="12"/>
        <v>153.08641857447498</v>
      </c>
      <c r="V19" s="129">
        <f t="shared" si="12"/>
        <v>153.08641857447498</v>
      </c>
    </row>
    <row r="20" spans="1:22" outlineLevel="1" x14ac:dyDescent="0.35">
      <c r="A20" s="14"/>
      <c r="B20" s="14" t="s">
        <v>466</v>
      </c>
      <c r="E20" s="14"/>
      <c r="F20" s="14"/>
      <c r="G20" s="14"/>
      <c r="H20" s="489">
        <f t="shared" ref="H20:L20" si="13">+H24/H48</f>
        <v>1.3957183753059785</v>
      </c>
      <c r="I20" s="489">
        <f t="shared" si="13"/>
        <v>1.6483981190162049</v>
      </c>
      <c r="J20" s="489">
        <f t="shared" si="13"/>
        <v>1.7968471771237036</v>
      </c>
      <c r="K20" s="489">
        <f t="shared" si="13"/>
        <v>1.1446683681925154</v>
      </c>
      <c r="L20" s="489">
        <f t="shared" si="13"/>
        <v>1.3907351099982115</v>
      </c>
      <c r="M20" s="489">
        <f t="shared" ref="M20:V20" si="14">+L20+0.3</f>
        <v>1.6907351099982115</v>
      </c>
      <c r="N20" s="489">
        <f t="shared" si="14"/>
        <v>1.9907351099982116</v>
      </c>
      <c r="O20" s="489">
        <f t="shared" si="14"/>
        <v>2.2907351099982116</v>
      </c>
      <c r="P20" s="489">
        <f t="shared" si="14"/>
        <v>2.5907351099982114</v>
      </c>
      <c r="Q20" s="489">
        <f t="shared" si="14"/>
        <v>2.8907351099982113</v>
      </c>
      <c r="R20" s="489">
        <f t="shared" si="14"/>
        <v>3.1907351099982111</v>
      </c>
      <c r="S20" s="489">
        <f t="shared" si="14"/>
        <v>3.4907351099982109</v>
      </c>
      <c r="T20" s="489">
        <f t="shared" si="14"/>
        <v>3.7907351099982107</v>
      </c>
      <c r="U20" s="489">
        <f t="shared" si="14"/>
        <v>4.090735109998211</v>
      </c>
      <c r="V20" s="489">
        <f t="shared" si="14"/>
        <v>4.3907351099982108</v>
      </c>
    </row>
    <row r="21" spans="1:22" x14ac:dyDescent="0.35">
      <c r="A21" s="14"/>
      <c r="B21" s="14"/>
      <c r="C21" s="14"/>
      <c r="D21" s="14"/>
      <c r="E21" s="14"/>
      <c r="F21" s="14"/>
      <c r="G21" s="14"/>
      <c r="H21" s="130"/>
      <c r="I21" s="130"/>
      <c r="J21" s="130"/>
      <c r="K21" s="130"/>
      <c r="L21" s="130"/>
      <c r="M21" s="130"/>
      <c r="N21" s="130"/>
      <c r="O21" s="130"/>
      <c r="P21" s="130"/>
      <c r="Q21" s="130"/>
    </row>
    <row r="22" spans="1:22" ht="20.5" x14ac:dyDescent="0.45">
      <c r="A22" s="169" t="s">
        <v>165</v>
      </c>
      <c r="B22" s="170"/>
      <c r="C22" s="170"/>
      <c r="D22" s="170"/>
      <c r="E22" s="170"/>
      <c r="F22" s="170"/>
      <c r="G22" s="170"/>
      <c r="H22" s="170"/>
      <c r="I22" s="170"/>
      <c r="J22" s="170"/>
      <c r="K22" s="170"/>
      <c r="L22" s="170"/>
      <c r="M22" s="170"/>
      <c r="N22" s="170"/>
      <c r="O22" s="170"/>
      <c r="P22" s="170"/>
      <c r="Q22" s="170"/>
      <c r="R22" s="170"/>
      <c r="S22" s="170"/>
      <c r="T22" s="170"/>
      <c r="U22" s="170"/>
      <c r="V22" s="170"/>
    </row>
    <row r="23" spans="1:22" outlineLevel="1" x14ac:dyDescent="0.35">
      <c r="A23" s="14"/>
      <c r="B23" s="18" t="s">
        <v>166</v>
      </c>
      <c r="C23" s="14"/>
      <c r="D23" s="14"/>
      <c r="E23" s="14"/>
      <c r="F23" s="14"/>
      <c r="G23" s="14"/>
      <c r="H23" s="14"/>
      <c r="I23" s="14"/>
      <c r="J23" s="14"/>
      <c r="K23" s="14"/>
      <c r="L23" s="14"/>
      <c r="M23" s="14"/>
      <c r="N23" s="14"/>
      <c r="O23" s="14"/>
      <c r="P23" s="14"/>
      <c r="Q23" s="14"/>
    </row>
    <row r="24" spans="1:22" outlineLevel="1" x14ac:dyDescent="0.35">
      <c r="A24" s="18"/>
      <c r="B24" s="18"/>
      <c r="C24" s="18"/>
      <c r="D24" s="18" t="s">
        <v>167</v>
      </c>
      <c r="E24" s="18"/>
      <c r="F24" s="132" t="s">
        <v>168</v>
      </c>
      <c r="G24" s="18"/>
      <c r="H24" s="352">
        <f>'Historical '!J6</f>
        <v>336.41</v>
      </c>
      <c r="I24" s="418">
        <f>'Historical '!K6</f>
        <v>487.25</v>
      </c>
      <c r="J24" s="418">
        <f>'Historical '!L6</f>
        <v>686.18</v>
      </c>
      <c r="K24" s="418">
        <f>'Historical '!M6</f>
        <v>690.67</v>
      </c>
      <c r="L24" s="418">
        <f>'Historical '!N6</f>
        <v>777.56</v>
      </c>
      <c r="M24" s="419">
        <f>L24*(1+M8)</f>
        <v>831.98919999999998</v>
      </c>
      <c r="N24" s="419">
        <f t="shared" ref="N24:V24" si="15">M24*(1+N8)</f>
        <v>886.7340893600001</v>
      </c>
      <c r="O24" s="419">
        <f t="shared" si="15"/>
        <v>941.58036625509487</v>
      </c>
      <c r="P24" s="419">
        <f t="shared" si="15"/>
        <v>996.32467733988847</v>
      </c>
      <c r="Q24" s="419">
        <f t="shared" si="15"/>
        <v>1050.7762392357702</v>
      </c>
      <c r="R24" s="419">
        <f t="shared" si="15"/>
        <v>1104.7580628389935</v>
      </c>
      <c r="S24" s="419">
        <f t="shared" si="15"/>
        <v>1158.1078070441347</v>
      </c>
      <c r="T24" s="419">
        <f t="shared" si="15"/>
        <v>1210.6782945610732</v>
      </c>
      <c r="U24" s="419">
        <f t="shared" si="15"/>
        <v>1262.3377263661957</v>
      </c>
      <c r="V24" s="419">
        <f t="shared" si="15"/>
        <v>1312.9696332767401</v>
      </c>
    </row>
    <row r="25" spans="1:22" outlineLevel="1" x14ac:dyDescent="0.35">
      <c r="A25" s="14"/>
      <c r="B25" s="14"/>
      <c r="C25" s="14"/>
      <c r="D25" s="14" t="s">
        <v>169</v>
      </c>
      <c r="E25" s="14"/>
      <c r="F25" s="133" t="s">
        <v>170</v>
      </c>
      <c r="G25" s="14"/>
      <c r="H25" s="352">
        <f>-SUM('Historical '!J10,'Historical '!J11)</f>
        <v>-197.63</v>
      </c>
      <c r="I25" s="418">
        <f>-SUM('Historical '!K10,'Historical '!K11)</f>
        <v>-274.96999999999997</v>
      </c>
      <c r="J25" s="418">
        <f>-SUM('Historical '!L10,'Historical '!L11)</f>
        <v>-388.51</v>
      </c>
      <c r="K25" s="418">
        <f>-SUM('Historical '!M10,'Historical '!M11)</f>
        <v>-382.49</v>
      </c>
      <c r="L25" s="418">
        <f>-SUM('Historical '!N10,'Historical '!N11)</f>
        <v>-423.06</v>
      </c>
      <c r="M25" s="419">
        <f>-M24*M9</f>
        <v>-468.55516215522971</v>
      </c>
      <c r="N25" s="419">
        <f t="shared" ref="N25:V25" si="16">-N24*N9</f>
        <v>-499.38609182504388</v>
      </c>
      <c r="O25" s="419">
        <f t="shared" si="16"/>
        <v>-530.27412037660645</v>
      </c>
      <c r="P25" s="419">
        <f t="shared" si="16"/>
        <v>-561.10472437652834</v>
      </c>
      <c r="Q25" s="419">
        <f t="shared" si="16"/>
        <v>-591.77045947709269</v>
      </c>
      <c r="R25" s="419">
        <f t="shared" si="16"/>
        <v>-622.17164991543405</v>
      </c>
      <c r="S25" s="419">
        <f t="shared" si="16"/>
        <v>-652.21686930888279</v>
      </c>
      <c r="T25" s="419">
        <f t="shared" si="16"/>
        <v>-681.82323114997234</v>
      </c>
      <c r="U25" s="419">
        <f t="shared" si="16"/>
        <v>-710.91650957990419</v>
      </c>
      <c r="V25" s="419">
        <f t="shared" si="16"/>
        <v>-739.43111211644987</v>
      </c>
    </row>
    <row r="26" spans="1:22" outlineLevel="1" x14ac:dyDescent="0.35">
      <c r="A26" s="14"/>
      <c r="B26" s="14"/>
      <c r="C26" s="14"/>
      <c r="D26" s="74" t="s">
        <v>171</v>
      </c>
      <c r="E26" s="75"/>
      <c r="F26" s="136" t="s">
        <v>168</v>
      </c>
      <c r="G26" s="75"/>
      <c r="H26" s="353">
        <f>SUM(H24:H25)</f>
        <v>138.78000000000003</v>
      </c>
      <c r="I26" s="420">
        <f t="shared" ref="I26:V26" si="17">SUM(I24:I25)</f>
        <v>212.28000000000003</v>
      </c>
      <c r="J26" s="420">
        <f t="shared" si="17"/>
        <v>297.66999999999996</v>
      </c>
      <c r="K26" s="420">
        <f t="shared" si="17"/>
        <v>308.17999999999995</v>
      </c>
      <c r="L26" s="420">
        <f t="shared" si="17"/>
        <v>354.49999999999994</v>
      </c>
      <c r="M26" s="420">
        <f t="shared" si="17"/>
        <v>363.43403784477027</v>
      </c>
      <c r="N26" s="420">
        <f t="shared" si="17"/>
        <v>387.34799753495622</v>
      </c>
      <c r="O26" s="420">
        <f t="shared" si="17"/>
        <v>411.30624587848843</v>
      </c>
      <c r="P26" s="420">
        <f t="shared" si="17"/>
        <v>435.21995296336013</v>
      </c>
      <c r="Q26" s="420">
        <f t="shared" si="17"/>
        <v>459.00577975867748</v>
      </c>
      <c r="R26" s="420">
        <f t="shared" si="17"/>
        <v>482.58641292355946</v>
      </c>
      <c r="S26" s="420">
        <f t="shared" si="17"/>
        <v>505.8909377352519</v>
      </c>
      <c r="T26" s="420">
        <f t="shared" si="17"/>
        <v>528.8550634111009</v>
      </c>
      <c r="U26" s="420">
        <f t="shared" si="17"/>
        <v>551.42121678629155</v>
      </c>
      <c r="V26" s="420">
        <f t="shared" si="17"/>
        <v>573.5385211602902</v>
      </c>
    </row>
    <row r="27" spans="1:22" outlineLevel="1" x14ac:dyDescent="0.35">
      <c r="A27" s="14"/>
      <c r="B27" s="18" t="s">
        <v>172</v>
      </c>
      <c r="C27" s="14"/>
      <c r="D27" s="14"/>
      <c r="E27" s="137"/>
      <c r="F27" s="137"/>
      <c r="G27" s="14"/>
      <c r="H27" s="135"/>
      <c r="I27" s="419"/>
      <c r="J27" s="419"/>
      <c r="K27" s="419"/>
      <c r="L27" s="419"/>
      <c r="M27" s="419"/>
      <c r="N27" s="419"/>
      <c r="O27" s="419"/>
      <c r="P27" s="419"/>
      <c r="Q27" s="419"/>
      <c r="R27" s="421"/>
      <c r="S27" s="421"/>
      <c r="T27" s="421"/>
      <c r="U27" s="421"/>
      <c r="V27" s="421"/>
    </row>
    <row r="28" spans="1:22" outlineLevel="1" x14ac:dyDescent="0.35">
      <c r="A28" s="14"/>
      <c r="B28" s="14"/>
      <c r="C28" s="14"/>
      <c r="D28" s="14" t="s">
        <v>173</v>
      </c>
      <c r="E28" s="14"/>
      <c r="F28" s="133" t="s">
        <v>170</v>
      </c>
      <c r="G28" s="14"/>
      <c r="H28" s="352">
        <f>-'Historical '!J12</f>
        <v>-20.07</v>
      </c>
      <c r="I28" s="418">
        <f>-'Historical '!K12</f>
        <v>-31.5</v>
      </c>
      <c r="J28" s="418">
        <f>-'Historical '!L12</f>
        <v>-46.82</v>
      </c>
      <c r="K28" s="418">
        <f>-'Historical '!M12</f>
        <v>-62</v>
      </c>
      <c r="L28" s="418">
        <f>-'Historical '!N12</f>
        <v>-64.84</v>
      </c>
      <c r="M28" s="419">
        <f>-M24*M10</f>
        <v>-60.851303532401786</v>
      </c>
      <c r="N28" s="419">
        <f t="shared" ref="N28:V28" si="18">-N24*N10</f>
        <v>-64.855319304833841</v>
      </c>
      <c r="O28" s="419">
        <f t="shared" si="18"/>
        <v>-68.866750514476422</v>
      </c>
      <c r="P28" s="419">
        <f t="shared" si="18"/>
        <v>-72.870723992128532</v>
      </c>
      <c r="Q28" s="419">
        <f t="shared" si="18"/>
        <v>-76.85328593011964</v>
      </c>
      <c r="R28" s="419">
        <f t="shared" si="18"/>
        <v>-80.801491427633678</v>
      </c>
      <c r="S28" s="419">
        <f t="shared" si="18"/>
        <v>-84.703466931646275</v>
      </c>
      <c r="T28" s="419">
        <f t="shared" si="18"/>
        <v>-88.548447963538962</v>
      </c>
      <c r="U28" s="419">
        <f t="shared" si="18"/>
        <v>-92.326794803960595</v>
      </c>
      <c r="V28" s="419">
        <f t="shared" si="18"/>
        <v>-96.029988950997407</v>
      </c>
    </row>
    <row r="29" spans="1:22" outlineLevel="1" x14ac:dyDescent="0.35">
      <c r="A29" s="14"/>
      <c r="B29" s="14"/>
      <c r="C29" s="14"/>
      <c r="D29" s="14" t="s">
        <v>174</v>
      </c>
      <c r="E29" s="14"/>
      <c r="F29" s="133" t="s">
        <v>170</v>
      </c>
      <c r="G29" s="14"/>
      <c r="H29" s="352">
        <f>-'Historical '!J15</f>
        <v>-54.35</v>
      </c>
      <c r="I29" s="418">
        <f>-'Historical '!K15</f>
        <v>-94.19</v>
      </c>
      <c r="J29" s="418">
        <f>-'Historical '!L15</f>
        <v>-139.22999999999999</v>
      </c>
      <c r="K29" s="418">
        <f>-'Historical '!M15</f>
        <v>-136.13</v>
      </c>
      <c r="L29" s="418">
        <f>-'Historical '!N15</f>
        <v>-153.34</v>
      </c>
      <c r="M29" s="419">
        <f>-M24*M11</f>
        <v>-158.4239324852218</v>
      </c>
      <c r="N29" s="419">
        <f t="shared" ref="N29:V29" si="19">-N24*N11</f>
        <v>-168.84822724274943</v>
      </c>
      <c r="O29" s="419">
        <f t="shared" si="19"/>
        <v>-179.29182779416797</v>
      </c>
      <c r="P29" s="419">
        <f t="shared" si="19"/>
        <v>-189.71601243892937</v>
      </c>
      <c r="Q29" s="419">
        <f t="shared" si="19"/>
        <v>-200.08445299742223</v>
      </c>
      <c r="R29" s="419">
        <f t="shared" si="19"/>
        <v>-210.36344793863807</v>
      </c>
      <c r="S29" s="419">
        <f t="shared" si="19"/>
        <v>-220.52208494265105</v>
      </c>
      <c r="T29" s="419">
        <f t="shared" si="19"/>
        <v>-230.5323391203479</v>
      </c>
      <c r="U29" s="419">
        <f t="shared" si="19"/>
        <v>-240.36911384833672</v>
      </c>
      <c r="V29" s="419">
        <f t="shared" si="19"/>
        <v>-250.01023154793441</v>
      </c>
    </row>
    <row r="30" spans="1:22" outlineLevel="1" x14ac:dyDescent="0.35">
      <c r="A30" s="14"/>
      <c r="B30" s="14"/>
      <c r="C30" s="14"/>
      <c r="D30" s="74" t="s">
        <v>175</v>
      </c>
      <c r="E30" s="75"/>
      <c r="F30" s="136" t="s">
        <v>168</v>
      </c>
      <c r="G30" s="75"/>
      <c r="H30" s="353">
        <f>SUM(H26:H29)</f>
        <v>64.360000000000042</v>
      </c>
      <c r="I30" s="420">
        <f t="shared" ref="I30:V30" si="20">SUM(I26:I29)</f>
        <v>86.590000000000032</v>
      </c>
      <c r="J30" s="420">
        <f t="shared" si="20"/>
        <v>111.61999999999998</v>
      </c>
      <c r="K30" s="420">
        <f t="shared" si="20"/>
        <v>110.04999999999995</v>
      </c>
      <c r="L30" s="420">
        <f t="shared" si="20"/>
        <v>136.31999999999996</v>
      </c>
      <c r="M30" s="420">
        <f t="shared" si="20"/>
        <v>144.15880182714668</v>
      </c>
      <c r="N30" s="420">
        <f t="shared" si="20"/>
        <v>153.64445098737292</v>
      </c>
      <c r="O30" s="420">
        <f t="shared" si="20"/>
        <v>163.14766756984406</v>
      </c>
      <c r="P30" s="420">
        <f t="shared" si="20"/>
        <v>172.63321653230221</v>
      </c>
      <c r="Q30" s="420">
        <f t="shared" si="20"/>
        <v>182.06804083113562</v>
      </c>
      <c r="R30" s="420">
        <f t="shared" si="20"/>
        <v>191.42147355728773</v>
      </c>
      <c r="S30" s="420">
        <f t="shared" si="20"/>
        <v>200.66538586095456</v>
      </c>
      <c r="T30" s="420">
        <f t="shared" si="20"/>
        <v>209.77427632721407</v>
      </c>
      <c r="U30" s="420">
        <f t="shared" si="20"/>
        <v>218.72530813399425</v>
      </c>
      <c r="V30" s="420">
        <f t="shared" si="20"/>
        <v>227.4983006613584</v>
      </c>
    </row>
    <row r="31" spans="1:22" outlineLevel="1" x14ac:dyDescent="0.35">
      <c r="A31" s="14"/>
      <c r="B31" s="14"/>
      <c r="C31" s="14"/>
      <c r="D31" s="127" t="s">
        <v>176</v>
      </c>
      <c r="E31" s="127"/>
      <c r="F31" s="138" t="s">
        <v>170</v>
      </c>
      <c r="G31" s="127"/>
      <c r="H31" s="354">
        <f>-'Historical '!J14</f>
        <v>-6.9</v>
      </c>
      <c r="I31" s="422">
        <f>-'Historical '!K14</f>
        <v>-11.69</v>
      </c>
      <c r="J31" s="422">
        <f>-'Historical '!L14</f>
        <v>-16.2</v>
      </c>
      <c r="K31" s="422">
        <f>-'Historical '!M14</f>
        <v>-22.87</v>
      </c>
      <c r="L31" s="422">
        <f>-'Historical '!N14</f>
        <v>-27.79</v>
      </c>
      <c r="M31" s="423">
        <f>M113</f>
        <v>-22.777738026647459</v>
      </c>
      <c r="N31" s="423">
        <f t="shared" ref="N31:V31" si="21">N113</f>
        <v>-25.889348229512144</v>
      </c>
      <c r="O31" s="423">
        <f t="shared" si="21"/>
        <v>-28.874395110338263</v>
      </c>
      <c r="P31" s="423">
        <f t="shared" si="21"/>
        <v>-35.633227452944688</v>
      </c>
      <c r="Q31" s="423">
        <f t="shared" si="21"/>
        <v>-38.539399886839888</v>
      </c>
      <c r="R31" s="423">
        <f t="shared" si="21"/>
        <v>-41.312872672714427</v>
      </c>
      <c r="S31" s="423">
        <f t="shared" si="21"/>
        <v>-48.765105586529486</v>
      </c>
      <c r="T31" s="423">
        <f t="shared" si="21"/>
        <v>-51.323411392193904</v>
      </c>
      <c r="U31" s="423">
        <f t="shared" si="21"/>
        <v>-53.752162442889947</v>
      </c>
      <c r="V31" s="423">
        <f t="shared" si="21"/>
        <v>-61.581969043814716</v>
      </c>
    </row>
    <row r="32" spans="1:22" outlineLevel="1" x14ac:dyDescent="0.35">
      <c r="A32" s="14"/>
      <c r="B32" s="14"/>
      <c r="C32" s="14"/>
      <c r="D32" s="18" t="s">
        <v>177</v>
      </c>
      <c r="E32" s="14"/>
      <c r="F32" s="132" t="s">
        <v>168</v>
      </c>
      <c r="G32" s="14"/>
      <c r="H32" s="355">
        <f>H30+H31</f>
        <v>57.460000000000043</v>
      </c>
      <c r="I32" s="424">
        <f>I30+I31</f>
        <v>74.900000000000034</v>
      </c>
      <c r="J32" s="424">
        <f>J30+J31</f>
        <v>95.419999999999973</v>
      </c>
      <c r="K32" s="424">
        <f>K30+K31</f>
        <v>87.17999999999995</v>
      </c>
      <c r="L32" s="424">
        <f>L30+L31</f>
        <v>108.52999999999997</v>
      </c>
      <c r="M32" s="424">
        <f>SUM(M30:M31)</f>
        <v>121.38106380049922</v>
      </c>
      <c r="N32" s="424">
        <f t="shared" ref="N32:V32" si="22">SUM(N30:N31)</f>
        <v>127.75510275786078</v>
      </c>
      <c r="O32" s="424">
        <f t="shared" si="22"/>
        <v>134.27327245950579</v>
      </c>
      <c r="P32" s="424">
        <f t="shared" si="22"/>
        <v>136.99998907935753</v>
      </c>
      <c r="Q32" s="424">
        <f t="shared" si="22"/>
        <v>143.52864094429572</v>
      </c>
      <c r="R32" s="424">
        <f t="shared" si="22"/>
        <v>150.10860088457329</v>
      </c>
      <c r="S32" s="424">
        <f t="shared" si="22"/>
        <v>151.90028027442509</v>
      </c>
      <c r="T32" s="424">
        <f t="shared" si="22"/>
        <v>158.45086493502015</v>
      </c>
      <c r="U32" s="424">
        <f t="shared" si="22"/>
        <v>164.97314569110429</v>
      </c>
      <c r="V32" s="424">
        <f t="shared" si="22"/>
        <v>165.91633161754368</v>
      </c>
    </row>
    <row r="33" spans="1:22" outlineLevel="1" x14ac:dyDescent="0.35">
      <c r="A33" s="14"/>
      <c r="B33" s="14"/>
      <c r="C33" s="14"/>
      <c r="D33" s="14" t="s">
        <v>134</v>
      </c>
      <c r="E33" s="14"/>
      <c r="F33" s="133" t="s">
        <v>170</v>
      </c>
      <c r="G33" s="14"/>
      <c r="H33" s="352">
        <f>-'Historical '!J13</f>
        <v>-13.77</v>
      </c>
      <c r="I33" s="418">
        <f>-'Historical '!K13</f>
        <v>-19.079999999999998</v>
      </c>
      <c r="J33" s="418">
        <f>-'Historical '!L13</f>
        <v>-28.94</v>
      </c>
      <c r="K33" s="418">
        <f>-'Historical '!M13</f>
        <v>-42.06</v>
      </c>
      <c r="L33" s="418">
        <f>-'Historical '!N13</f>
        <v>-48.5</v>
      </c>
      <c r="M33" s="419">
        <f>M121</f>
        <v>-67.958685613002444</v>
      </c>
      <c r="N33" s="419">
        <f t="shared" ref="N33:V33" si="23">N121</f>
        <v>-67.958685613002444</v>
      </c>
      <c r="O33" s="419">
        <f t="shared" si="23"/>
        <v>-67.958685613002444</v>
      </c>
      <c r="P33" s="419">
        <f t="shared" si="23"/>
        <v>-67.958685613002444</v>
      </c>
      <c r="Q33" s="419">
        <f t="shared" si="23"/>
        <v>-67.958685613002444</v>
      </c>
      <c r="R33" s="419">
        <f t="shared" si="23"/>
        <v>-67.958685613002444</v>
      </c>
      <c r="S33" s="419">
        <f t="shared" si="23"/>
        <v>-67.958685613002444</v>
      </c>
      <c r="T33" s="419">
        <f t="shared" si="23"/>
        <v>-67.958685613002444</v>
      </c>
      <c r="U33" s="419">
        <f t="shared" si="23"/>
        <v>-67.958685613002444</v>
      </c>
      <c r="V33" s="419">
        <f t="shared" si="23"/>
        <v>-67.958685613002444</v>
      </c>
    </row>
    <row r="34" spans="1:22" outlineLevel="1" x14ac:dyDescent="0.35">
      <c r="A34" s="14"/>
      <c r="B34" s="14"/>
      <c r="C34" s="14"/>
      <c r="D34" s="14" t="s">
        <v>178</v>
      </c>
      <c r="E34" s="14"/>
      <c r="F34" s="133" t="s">
        <v>170</v>
      </c>
      <c r="G34" s="14"/>
      <c r="H34" s="352">
        <f>SUM('Historical '!J7,'Historical '!J18,'Historical '!J19)</f>
        <v>0.52</v>
      </c>
      <c r="I34" s="418">
        <f>SUM('Historical '!K7,'Historical '!K18,'Historical '!K19)</f>
        <v>1.25</v>
      </c>
      <c r="J34" s="418">
        <f>SUM('Historical '!L7,'Historical '!L18,'Historical '!L19)</f>
        <v>4.55</v>
      </c>
      <c r="K34" s="418">
        <f>SUM('Historical '!M7,'Historical '!M18,'Historical '!M19)</f>
        <v>7.6499999999999995</v>
      </c>
      <c r="L34" s="418">
        <f>SUM('Historical '!N7,'Historical '!N18,'Historical '!N19)</f>
        <v>-9.870000000000001</v>
      </c>
      <c r="M34" s="419">
        <f>M14*M24</f>
        <v>5.742692266686265</v>
      </c>
      <c r="N34" s="419">
        <f t="shared" ref="N34:V34" si="24">N14*N24</f>
        <v>6.1205614178342218</v>
      </c>
      <c r="O34" s="419">
        <f t="shared" si="24"/>
        <v>6.4991303826501046</v>
      </c>
      <c r="P34" s="419">
        <f t="shared" si="24"/>
        <v>6.8769955423321187</v>
      </c>
      <c r="Q34" s="419">
        <f t="shared" si="24"/>
        <v>7.2528400405641493</v>
      </c>
      <c r="R34" s="419">
        <f t="shared" si="24"/>
        <v>7.6254422341357158</v>
      </c>
      <c r="S34" s="419">
        <f t="shared" si="24"/>
        <v>7.9936815856520029</v>
      </c>
      <c r="T34" s="419">
        <f t="shared" si="24"/>
        <v>8.356542223890397</v>
      </c>
      <c r="U34" s="419">
        <f t="shared" si="24"/>
        <v>8.7131144240207394</v>
      </c>
      <c r="V34" s="419">
        <f t="shared" si="24"/>
        <v>9.0625942733538327</v>
      </c>
    </row>
    <row r="35" spans="1:22" outlineLevel="1" x14ac:dyDescent="0.35">
      <c r="A35" s="14"/>
      <c r="B35" s="14"/>
      <c r="C35" s="14"/>
      <c r="D35" s="18" t="s">
        <v>179</v>
      </c>
      <c r="E35" s="14"/>
      <c r="F35" s="132" t="s">
        <v>168</v>
      </c>
      <c r="G35" s="14"/>
      <c r="H35" s="355">
        <f t="shared" ref="H35:M35" si="25">SUM(H32:H34)</f>
        <v>44.210000000000043</v>
      </c>
      <c r="I35" s="424">
        <f t="shared" si="25"/>
        <v>57.070000000000036</v>
      </c>
      <c r="J35" s="424">
        <f t="shared" si="25"/>
        <v>71.029999999999973</v>
      </c>
      <c r="K35" s="424">
        <f t="shared" si="25"/>
        <v>52.769999999999946</v>
      </c>
      <c r="L35" s="424">
        <f t="shared" si="25"/>
        <v>50.159999999999968</v>
      </c>
      <c r="M35" s="424">
        <f t="shared" si="25"/>
        <v>59.165070454183038</v>
      </c>
      <c r="N35" s="424">
        <f t="shared" ref="N35:V35" si="26">SUM(N32:N34)</f>
        <v>65.916978562692563</v>
      </c>
      <c r="O35" s="424">
        <f t="shared" si="26"/>
        <v>72.813717229153454</v>
      </c>
      <c r="P35" s="424">
        <f t="shared" si="26"/>
        <v>75.918299008687214</v>
      </c>
      <c r="Q35" s="424">
        <f t="shared" si="26"/>
        <v>82.822795371857424</v>
      </c>
      <c r="R35" s="424">
        <f t="shared" si="26"/>
        <v>89.775357505706566</v>
      </c>
      <c r="S35" s="424">
        <f t="shared" si="26"/>
        <v>91.93527624707464</v>
      </c>
      <c r="T35" s="424">
        <f t="shared" si="26"/>
        <v>98.848721545908106</v>
      </c>
      <c r="U35" s="424">
        <f t="shared" si="26"/>
        <v>105.72757450212259</v>
      </c>
      <c r="V35" s="424">
        <f t="shared" si="26"/>
        <v>107.02024027789507</v>
      </c>
    </row>
    <row r="36" spans="1:22" outlineLevel="1" x14ac:dyDescent="0.35">
      <c r="A36" s="14"/>
      <c r="B36" s="14"/>
      <c r="C36" s="14"/>
      <c r="D36" s="127" t="s">
        <v>180</v>
      </c>
      <c r="E36" s="127"/>
      <c r="F36" s="138" t="s">
        <v>170</v>
      </c>
      <c r="G36" s="127"/>
      <c r="H36" s="354">
        <f>-SUM('Historical '!J22:J23)</f>
        <v>-12.879999999999999</v>
      </c>
      <c r="I36" s="422">
        <f>-SUM('Historical '!K22:K23)</f>
        <v>-12.44</v>
      </c>
      <c r="J36" s="422">
        <f>-SUM('Historical '!L22:L23)</f>
        <v>-21.060000000000002</v>
      </c>
      <c r="K36" s="422">
        <f>-SUM('Historical '!M22:M23)</f>
        <v>-17.12</v>
      </c>
      <c r="L36" s="422">
        <f>-SUM('Historical '!N22:N23)</f>
        <v>-15.329999999999998</v>
      </c>
      <c r="M36" s="419">
        <f>-M15*M35</f>
        <v>-18.200477869429626</v>
      </c>
      <c r="N36" s="419">
        <f t="shared" ref="N36:V36" si="27">-N15*N35</f>
        <v>-20.277513410197106</v>
      </c>
      <c r="O36" s="419">
        <f t="shared" si="27"/>
        <v>-22.399102018248637</v>
      </c>
      <c r="P36" s="419">
        <f t="shared" si="27"/>
        <v>-23.505976302158661</v>
      </c>
      <c r="Q36" s="419">
        <f t="shared" si="27"/>
        <v>-25.643760341187885</v>
      </c>
      <c r="R36" s="419">
        <f t="shared" si="27"/>
        <v>-27.796426600726221</v>
      </c>
      <c r="S36" s="419">
        <f t="shared" si="27"/>
        <v>-28.649055534429316</v>
      </c>
      <c r="T36" s="419">
        <f t="shared" si="27"/>
        <v>-30.803437251499769</v>
      </c>
      <c r="U36" s="419">
        <f t="shared" si="27"/>
        <v>-32.947039233247587</v>
      </c>
      <c r="V36" s="419">
        <f t="shared" si="27"/>
        <v>-33.563902820551156</v>
      </c>
    </row>
    <row r="37" spans="1:22" ht="15" outlineLevel="1" thickBot="1" x14ac:dyDescent="0.4">
      <c r="A37" s="14"/>
      <c r="B37" s="14"/>
      <c r="C37" s="14"/>
      <c r="D37" s="139" t="s">
        <v>181</v>
      </c>
      <c r="E37" s="140"/>
      <c r="F37" s="141" t="s">
        <v>168</v>
      </c>
      <c r="G37" s="140"/>
      <c r="H37" s="356">
        <f>H35+H36</f>
        <v>31.330000000000044</v>
      </c>
      <c r="I37" s="425">
        <f>I35+I36</f>
        <v>44.630000000000038</v>
      </c>
      <c r="J37" s="425">
        <f>J35+J36</f>
        <v>49.96999999999997</v>
      </c>
      <c r="K37" s="425">
        <f>K35+K36</f>
        <v>35.649999999999949</v>
      </c>
      <c r="L37" s="425">
        <f>L35+L36</f>
        <v>34.82999999999997</v>
      </c>
      <c r="M37" s="425">
        <f>SUM(M35:M36)</f>
        <v>40.964592584753412</v>
      </c>
      <c r="N37" s="425">
        <f t="shared" ref="N37:V37" si="28">SUM(N35:N36)</f>
        <v>45.639465152495461</v>
      </c>
      <c r="O37" s="425">
        <f t="shared" si="28"/>
        <v>50.414615210904813</v>
      </c>
      <c r="P37" s="425">
        <f t="shared" si="28"/>
        <v>52.412322706528556</v>
      </c>
      <c r="Q37" s="425">
        <f t="shared" si="28"/>
        <v>57.179035030669539</v>
      </c>
      <c r="R37" s="425">
        <f t="shared" si="28"/>
        <v>61.978930904980345</v>
      </c>
      <c r="S37" s="425">
        <f t="shared" si="28"/>
        <v>63.286220712645324</v>
      </c>
      <c r="T37" s="425">
        <f t="shared" si="28"/>
        <v>68.045284294408333</v>
      </c>
      <c r="U37" s="425">
        <f t="shared" si="28"/>
        <v>72.780535268875013</v>
      </c>
      <c r="V37" s="425">
        <f t="shared" si="28"/>
        <v>73.456337457343921</v>
      </c>
    </row>
    <row r="38" spans="1:22" ht="15" thickTop="1" x14ac:dyDescent="0.35">
      <c r="A38" s="14"/>
      <c r="B38" s="14"/>
      <c r="C38" s="14"/>
      <c r="D38" s="14"/>
      <c r="E38" s="14"/>
      <c r="F38" s="14"/>
      <c r="G38" s="14"/>
      <c r="H38" s="135"/>
      <c r="I38" s="135"/>
      <c r="J38" s="135"/>
      <c r="K38" s="135"/>
      <c r="L38" s="135"/>
      <c r="M38" s="135"/>
      <c r="N38" s="135"/>
      <c r="O38" s="135"/>
      <c r="P38" s="135"/>
      <c r="Q38" s="135"/>
    </row>
    <row r="39" spans="1:22" ht="20.5" x14ac:dyDescent="0.45">
      <c r="A39" s="169" t="s">
        <v>182</v>
      </c>
      <c r="B39" s="170"/>
      <c r="C39" s="170"/>
      <c r="D39" s="170"/>
      <c r="E39" s="170"/>
      <c r="F39" s="170"/>
      <c r="G39" s="170"/>
      <c r="H39" s="170"/>
      <c r="I39" s="170"/>
      <c r="J39" s="170"/>
      <c r="K39" s="170"/>
      <c r="L39" s="170"/>
      <c r="M39" s="170"/>
      <c r="N39" s="170"/>
      <c r="O39" s="170"/>
      <c r="P39" s="170"/>
      <c r="Q39" s="170"/>
      <c r="R39" s="170"/>
      <c r="S39" s="170"/>
      <c r="T39" s="170"/>
      <c r="U39" s="170"/>
      <c r="V39" s="170"/>
    </row>
    <row r="40" spans="1:22" outlineLevel="1" x14ac:dyDescent="0.35">
      <c r="A40" s="14"/>
      <c r="B40" s="18" t="s">
        <v>183</v>
      </c>
      <c r="D40" s="14"/>
      <c r="E40" s="14"/>
      <c r="F40" s="14"/>
      <c r="G40" s="14"/>
      <c r="H40" s="14"/>
      <c r="I40" s="14"/>
      <c r="J40" s="14"/>
      <c r="K40" s="14"/>
      <c r="L40" s="14"/>
      <c r="M40" s="14"/>
      <c r="N40" s="14"/>
      <c r="O40" s="14"/>
      <c r="P40" s="14"/>
      <c r="Q40" s="14"/>
    </row>
    <row r="41" spans="1:22" outlineLevel="1" x14ac:dyDescent="0.35">
      <c r="A41" s="14"/>
      <c r="B41" s="14"/>
      <c r="C41" s="18" t="s">
        <v>184</v>
      </c>
      <c r="D41" s="14"/>
      <c r="E41" s="14"/>
      <c r="F41" s="14"/>
      <c r="G41" s="14"/>
      <c r="H41" s="14"/>
      <c r="I41" s="14"/>
      <c r="J41" s="14"/>
      <c r="K41" s="14"/>
      <c r="L41" s="14"/>
      <c r="M41" s="14"/>
      <c r="N41" s="14"/>
      <c r="O41" s="14"/>
      <c r="P41" s="14"/>
      <c r="Q41" s="14"/>
    </row>
    <row r="42" spans="1:22" outlineLevel="1" x14ac:dyDescent="0.35">
      <c r="A42" s="14"/>
      <c r="B42" s="14"/>
      <c r="C42" s="14"/>
      <c r="D42" s="14" t="s">
        <v>185</v>
      </c>
      <c r="E42" s="14"/>
      <c r="F42" s="133" t="s">
        <v>170</v>
      </c>
      <c r="G42" s="14"/>
      <c r="H42" s="352">
        <f>'Historical '!J46</f>
        <v>0.51</v>
      </c>
      <c r="I42" s="352">
        <f>'Historical '!K46</f>
        <v>32.799999999999997</v>
      </c>
      <c r="J42" s="352">
        <f>'Historical '!L46</f>
        <v>18.22</v>
      </c>
      <c r="K42" s="352">
        <f>'Historical '!M46</f>
        <v>12.23</v>
      </c>
      <c r="L42" s="352">
        <f>'Historical '!N46</f>
        <v>4.96</v>
      </c>
      <c r="M42" s="402">
        <f>M98</f>
        <v>-177.24596094922015</v>
      </c>
      <c r="N42" s="402">
        <f t="shared" ref="N42:V42" si="29">N98</f>
        <v>-237.30721880358897</v>
      </c>
      <c r="O42" s="402">
        <f t="shared" si="29"/>
        <v>-290.3913678671405</v>
      </c>
      <c r="P42" s="402">
        <f t="shared" si="29"/>
        <v>-334.9823899578426</v>
      </c>
      <c r="Q42" s="402">
        <f t="shared" si="29"/>
        <v>-372.49914139731101</v>
      </c>
      <c r="R42" s="402">
        <f t="shared" si="29"/>
        <v>-402.96395892926955</v>
      </c>
      <c r="S42" s="402">
        <f t="shared" si="29"/>
        <v>-424.58059921945721</v>
      </c>
      <c r="T42" s="402">
        <f t="shared" si="29"/>
        <v>-439.25119991786011</v>
      </c>
      <c r="U42" s="402">
        <f t="shared" si="29"/>
        <v>-447.06422715818206</v>
      </c>
      <c r="V42" s="402">
        <f t="shared" si="29"/>
        <v>-446.00253406574933</v>
      </c>
    </row>
    <row r="43" spans="1:22" outlineLevel="1" x14ac:dyDescent="0.35">
      <c r="A43" s="14"/>
      <c r="B43" s="14"/>
      <c r="C43" s="14"/>
      <c r="D43" s="14" t="s">
        <v>186</v>
      </c>
      <c r="E43" s="14"/>
      <c r="F43" s="133" t="s">
        <v>170</v>
      </c>
      <c r="G43" s="14"/>
      <c r="H43" s="352">
        <f>'Historical '!J47</f>
        <v>0.7</v>
      </c>
      <c r="I43" s="352">
        <f>'Historical '!K47</f>
        <v>12.42</v>
      </c>
      <c r="J43" s="352">
        <f>'Historical '!L47</f>
        <v>2.48</v>
      </c>
      <c r="K43" s="352">
        <f>'Historical '!M47</f>
        <v>0.26</v>
      </c>
      <c r="L43" s="352"/>
      <c r="M43" s="426"/>
      <c r="N43" s="426"/>
      <c r="O43" s="426"/>
      <c r="P43" s="426"/>
      <c r="Q43" s="426"/>
      <c r="R43" s="426"/>
      <c r="S43" s="426"/>
      <c r="T43" s="426"/>
      <c r="U43" s="426"/>
      <c r="V43" s="426"/>
    </row>
    <row r="44" spans="1:22" outlineLevel="1" x14ac:dyDescent="0.35">
      <c r="A44" s="14"/>
      <c r="B44" s="14"/>
      <c r="C44" s="14"/>
      <c r="D44" s="14" t="s">
        <v>187</v>
      </c>
      <c r="E44" s="14"/>
      <c r="F44" s="133" t="s">
        <v>170</v>
      </c>
      <c r="G44" s="14"/>
      <c r="H44" s="352">
        <f>'Historical '!J45</f>
        <v>78.55</v>
      </c>
      <c r="I44" s="352">
        <f>'Historical '!K45</f>
        <v>109.5</v>
      </c>
      <c r="J44" s="352">
        <f>'Historical '!L45</f>
        <v>177.38</v>
      </c>
      <c r="K44" s="352">
        <f>'Historical '!M45</f>
        <v>281.69</v>
      </c>
      <c r="L44" s="352">
        <f>'Historical '!N45</f>
        <v>200.22</v>
      </c>
      <c r="M44" s="403">
        <f>(M17/365)*M24</f>
        <v>229.97466665384172</v>
      </c>
      <c r="N44" s="403">
        <f t="shared" ref="N44:V44" si="30">(N17/365)*N24</f>
        <v>245.10699971966454</v>
      </c>
      <c r="O44" s="403">
        <f t="shared" si="30"/>
        <v>260.26735786632526</v>
      </c>
      <c r="P44" s="403">
        <f t="shared" si="30"/>
        <v>275.39953108794833</v>
      </c>
      <c r="Q44" s="403">
        <f t="shared" si="30"/>
        <v>290.45078391164657</v>
      </c>
      <c r="R44" s="403">
        <f t="shared" si="30"/>
        <v>305.37219381518588</v>
      </c>
      <c r="S44" s="403">
        <f t="shared" si="30"/>
        <v>320.118887209337</v>
      </c>
      <c r="T44" s="403">
        <f t="shared" si="30"/>
        <v>334.6501820176565</v>
      </c>
      <c r="U44" s="403">
        <f t="shared" si="30"/>
        <v>348.92964695411229</v>
      </c>
      <c r="V44" s="403">
        <f t="shared" si="30"/>
        <v>362.92508813748435</v>
      </c>
    </row>
    <row r="45" spans="1:22" outlineLevel="1" x14ac:dyDescent="0.35">
      <c r="A45" s="14"/>
      <c r="B45" s="14"/>
      <c r="C45" s="14"/>
      <c r="D45" s="14" t="s">
        <v>163</v>
      </c>
      <c r="E45" s="14"/>
      <c r="F45" s="133" t="s">
        <v>170</v>
      </c>
      <c r="G45" s="14"/>
      <c r="H45" s="352">
        <f>'Historical '!J42</f>
        <v>114.03</v>
      </c>
      <c r="I45" s="352">
        <f>'Historical '!K42</f>
        <v>194.59</v>
      </c>
      <c r="J45" s="352">
        <f>'Historical '!L42</f>
        <v>292.97000000000003</v>
      </c>
      <c r="K45" s="352">
        <f>'Historical '!M42</f>
        <v>382.44</v>
      </c>
      <c r="L45" s="352">
        <f>'Historical '!N42</f>
        <v>309.13</v>
      </c>
      <c r="M45" s="403">
        <f>(M18/365)*-M25</f>
        <v>353.22687244416005</v>
      </c>
      <c r="N45" s="403">
        <f t="shared" ref="N45:V45" si="31">(N18/365)*-N25</f>
        <v>376.46920065098584</v>
      </c>
      <c r="O45" s="403">
        <f t="shared" si="31"/>
        <v>399.75457364965058</v>
      </c>
      <c r="P45" s="403">
        <f t="shared" si="31"/>
        <v>422.99665634566611</v>
      </c>
      <c r="Q45" s="403">
        <f t="shared" si="31"/>
        <v>446.11445031244108</v>
      </c>
      <c r="R45" s="403">
        <f t="shared" si="31"/>
        <v>469.03281357989562</v>
      </c>
      <c r="S45" s="403">
        <f t="shared" si="31"/>
        <v>491.68282308876661</v>
      </c>
      <c r="T45" s="403">
        <f t="shared" si="31"/>
        <v>514.001993684338</v>
      </c>
      <c r="U45" s="403">
        <f t="shared" si="31"/>
        <v>535.93436916320934</v>
      </c>
      <c r="V45" s="403">
        <f t="shared" si="31"/>
        <v>557.43050171384277</v>
      </c>
    </row>
    <row r="46" spans="1:22" outlineLevel="1" x14ac:dyDescent="0.35">
      <c r="A46" s="14"/>
      <c r="B46" s="14"/>
      <c r="C46" s="14"/>
      <c r="D46" s="14" t="s">
        <v>188</v>
      </c>
      <c r="E46" s="14"/>
      <c r="F46" s="133" t="s">
        <v>170</v>
      </c>
      <c r="G46" s="14"/>
      <c r="H46" s="352">
        <f>SUM('Historical '!J44,'Historical '!J48,'Historical '!J49,'Historical '!J50)</f>
        <v>46.370000000000005</v>
      </c>
      <c r="I46" s="352">
        <f>SUM('Historical '!K44,'Historical '!K48,'Historical '!K49,'Historical '!K50)</f>
        <v>143.15</v>
      </c>
      <c r="J46" s="352">
        <f>SUM('Historical '!L44,'Historical '!L48,'Historical '!L49,'Historical '!L50)</f>
        <v>164.78</v>
      </c>
      <c r="K46" s="352">
        <f>SUM('Historical '!M44,'Historical '!M48,'Historical '!M49,'Historical '!M50)</f>
        <v>107.04</v>
      </c>
      <c r="L46" s="352">
        <f>SUM('Historical '!N44,'Historical '!N48,'Historical '!N49,'Historical '!N50)</f>
        <v>485.52</v>
      </c>
      <c r="M46" s="402">
        <f>L46</f>
        <v>485.52</v>
      </c>
      <c r="N46" s="402">
        <f t="shared" ref="N46:V46" si="32">M46</f>
        <v>485.52</v>
      </c>
      <c r="O46" s="402">
        <f t="shared" si="32"/>
        <v>485.52</v>
      </c>
      <c r="P46" s="402">
        <f t="shared" si="32"/>
        <v>485.52</v>
      </c>
      <c r="Q46" s="402">
        <f t="shared" si="32"/>
        <v>485.52</v>
      </c>
      <c r="R46" s="402">
        <f t="shared" si="32"/>
        <v>485.52</v>
      </c>
      <c r="S46" s="402">
        <f t="shared" si="32"/>
        <v>485.52</v>
      </c>
      <c r="T46" s="402">
        <f t="shared" si="32"/>
        <v>485.52</v>
      </c>
      <c r="U46" s="402">
        <f t="shared" si="32"/>
        <v>485.52</v>
      </c>
      <c r="V46" s="402">
        <f t="shared" si="32"/>
        <v>485.52</v>
      </c>
    </row>
    <row r="47" spans="1:22" outlineLevel="1" x14ac:dyDescent="0.35">
      <c r="A47" s="14"/>
      <c r="B47" s="18" t="s">
        <v>189</v>
      </c>
      <c r="D47" s="14"/>
      <c r="E47" s="14"/>
      <c r="F47" s="133"/>
      <c r="G47" s="14"/>
      <c r="H47" s="134"/>
      <c r="I47" s="134"/>
      <c r="J47" s="134"/>
      <c r="K47" s="134"/>
      <c r="L47" s="134"/>
      <c r="M47" s="5"/>
      <c r="N47" s="14"/>
      <c r="O47" s="14"/>
      <c r="P47" s="14"/>
      <c r="Q47" s="14"/>
    </row>
    <row r="48" spans="1:22" outlineLevel="1" x14ac:dyDescent="0.35">
      <c r="A48" s="14"/>
      <c r="B48" s="14"/>
      <c r="C48" s="14"/>
      <c r="D48" s="14" t="s">
        <v>190</v>
      </c>
      <c r="E48" s="14"/>
      <c r="F48" s="133" t="s">
        <v>170</v>
      </c>
      <c r="G48" s="14"/>
      <c r="H48" s="352">
        <f>SUM('Historical '!J30,'Historical '!J31,'Historical '!J32)</f>
        <v>241.03</v>
      </c>
      <c r="I48" s="352">
        <f>SUM('Historical '!K30,'Historical '!K31,'Historical '!K32)</f>
        <v>295.58999999999997</v>
      </c>
      <c r="J48" s="352">
        <f>SUM('Historical '!L30,'Historical '!L31,'Historical '!L32)</f>
        <v>381.88</v>
      </c>
      <c r="K48" s="352">
        <f>SUM('Historical '!M30,'Historical '!M31,'Historical '!M32)</f>
        <v>603.38</v>
      </c>
      <c r="L48" s="352">
        <f>SUM('Historical '!N30,'Historical '!N31,'Historical '!N32)</f>
        <v>559.09999999999991</v>
      </c>
      <c r="M48" s="402">
        <f>M114</f>
        <v>635.47726197335237</v>
      </c>
      <c r="N48" s="402">
        <f t="shared" ref="N48:V48" si="33">N114</f>
        <v>708.74791374384017</v>
      </c>
      <c r="O48" s="402">
        <f t="shared" si="33"/>
        <v>779.03851863350189</v>
      </c>
      <c r="P48" s="402">
        <f t="shared" si="33"/>
        <v>842.5752911805572</v>
      </c>
      <c r="Q48" s="402">
        <f t="shared" si="33"/>
        <v>903.21089129371728</v>
      </c>
      <c r="R48" s="402">
        <f t="shared" si="33"/>
        <v>961.0780186210028</v>
      </c>
      <c r="S48" s="402">
        <f t="shared" si="33"/>
        <v>1011.4979130344734</v>
      </c>
      <c r="T48" s="402">
        <f t="shared" si="33"/>
        <v>1059.3645016422795</v>
      </c>
      <c r="U48" s="402">
        <f t="shared" si="33"/>
        <v>1104.8073391993894</v>
      </c>
      <c r="V48" s="402">
        <f t="shared" si="33"/>
        <v>1142.4253701555747</v>
      </c>
    </row>
    <row r="49" spans="1:22" outlineLevel="1" x14ac:dyDescent="0.35">
      <c r="A49" s="14"/>
      <c r="B49" s="14"/>
      <c r="C49" s="14"/>
      <c r="D49" s="14" t="s">
        <v>191</v>
      </c>
      <c r="E49" s="14"/>
      <c r="F49" s="133" t="s">
        <v>170</v>
      </c>
      <c r="G49" s="14"/>
      <c r="H49" s="352">
        <f>'Historical '!J33</f>
        <v>0.33</v>
      </c>
      <c r="I49" s="352">
        <f>'Historical '!K33</f>
        <v>0.16</v>
      </c>
      <c r="J49" s="352">
        <f>'Historical '!L33</f>
        <v>1.41</v>
      </c>
      <c r="K49" s="352">
        <f>'Historical '!M33</f>
        <v>1.1499999999999999</v>
      </c>
      <c r="L49" s="352">
        <f>'Historical '!N33</f>
        <v>0.94</v>
      </c>
      <c r="M49" s="402">
        <f>L49</f>
        <v>0.94</v>
      </c>
      <c r="N49" s="402">
        <f t="shared" ref="N49:V49" si="34">M49</f>
        <v>0.94</v>
      </c>
      <c r="O49" s="402">
        <f t="shared" si="34"/>
        <v>0.94</v>
      </c>
      <c r="P49" s="402">
        <f t="shared" si="34"/>
        <v>0.94</v>
      </c>
      <c r="Q49" s="402">
        <f t="shared" si="34"/>
        <v>0.94</v>
      </c>
      <c r="R49" s="402">
        <f t="shared" si="34"/>
        <v>0.94</v>
      </c>
      <c r="S49" s="402">
        <f t="shared" si="34"/>
        <v>0.94</v>
      </c>
      <c r="T49" s="402">
        <f t="shared" si="34"/>
        <v>0.94</v>
      </c>
      <c r="U49" s="402">
        <f t="shared" si="34"/>
        <v>0.94</v>
      </c>
      <c r="V49" s="402">
        <f t="shared" si="34"/>
        <v>0.94</v>
      </c>
    </row>
    <row r="50" spans="1:22" outlineLevel="1" x14ac:dyDescent="0.35">
      <c r="A50" s="14"/>
      <c r="B50" s="14"/>
      <c r="C50" s="14"/>
      <c r="D50" s="14" t="s">
        <v>192</v>
      </c>
      <c r="E50" s="14"/>
      <c r="F50" s="133" t="s">
        <v>170</v>
      </c>
      <c r="G50" s="14"/>
      <c r="H50" s="352">
        <f>SUM('Historical '!J35,'Historical '!J36,'Historical '!J37)</f>
        <v>8.09</v>
      </c>
      <c r="I50" s="352">
        <f>SUM('Historical '!K35,'Historical '!K36,'Historical '!K37)</f>
        <v>9.4500000000000011</v>
      </c>
      <c r="J50" s="352">
        <f>SUM('Historical '!L35,'Historical '!L36,'Historical '!L37)</f>
        <v>8.2199999999999989</v>
      </c>
      <c r="K50" s="352">
        <f>SUM('Historical '!M35,'Historical '!M36,'Historical '!M37)</f>
        <v>11.229999999999999</v>
      </c>
      <c r="L50" s="352">
        <f>SUM('Historical '!N35,'Historical '!N36,'Historical '!N37)</f>
        <v>14.559999999999999</v>
      </c>
      <c r="M50" s="402">
        <f>L50</f>
        <v>14.559999999999999</v>
      </c>
      <c r="N50" s="402">
        <f t="shared" ref="N50:V50" si="35">M50</f>
        <v>14.559999999999999</v>
      </c>
      <c r="O50" s="402">
        <f t="shared" si="35"/>
        <v>14.559999999999999</v>
      </c>
      <c r="P50" s="402">
        <f t="shared" si="35"/>
        <v>14.559999999999999</v>
      </c>
      <c r="Q50" s="402">
        <f t="shared" si="35"/>
        <v>14.559999999999999</v>
      </c>
      <c r="R50" s="402">
        <f t="shared" si="35"/>
        <v>14.559999999999999</v>
      </c>
      <c r="S50" s="402">
        <f t="shared" si="35"/>
        <v>14.559999999999999</v>
      </c>
      <c r="T50" s="402">
        <f t="shared" si="35"/>
        <v>14.559999999999999</v>
      </c>
      <c r="U50" s="402">
        <f t="shared" si="35"/>
        <v>14.559999999999999</v>
      </c>
      <c r="V50" s="402">
        <f t="shared" si="35"/>
        <v>14.559999999999999</v>
      </c>
    </row>
    <row r="51" spans="1:22" outlineLevel="1" x14ac:dyDescent="0.35">
      <c r="A51" s="14"/>
      <c r="B51" s="14"/>
      <c r="C51" s="14"/>
      <c r="D51" s="14" t="s">
        <v>193</v>
      </c>
      <c r="E51" s="14"/>
      <c r="F51" s="133" t="s">
        <v>170</v>
      </c>
      <c r="G51" s="14"/>
      <c r="H51" s="352">
        <f>SUM('Historical '!J38,'Historical '!J39)</f>
        <v>2.35</v>
      </c>
      <c r="I51" s="352">
        <f>SUM('Historical '!K38,'Historical '!K39)</f>
        <v>1.6</v>
      </c>
      <c r="J51" s="352">
        <f>SUM('Historical '!L38,'Historical '!L39)</f>
        <v>6.46</v>
      </c>
      <c r="K51" s="352">
        <f>SUM('Historical '!M38,'Historical '!M39)</f>
        <v>61.980000000000004</v>
      </c>
      <c r="L51" s="352">
        <f>SUM('Historical '!N38,'Historical '!N39)</f>
        <v>172.88</v>
      </c>
      <c r="M51" s="403">
        <f>L51</f>
        <v>172.88</v>
      </c>
      <c r="N51" s="403">
        <f t="shared" ref="N51:V51" si="36">M51</f>
        <v>172.88</v>
      </c>
      <c r="O51" s="403">
        <f t="shared" si="36"/>
        <v>172.88</v>
      </c>
      <c r="P51" s="403">
        <f t="shared" si="36"/>
        <v>172.88</v>
      </c>
      <c r="Q51" s="403">
        <f t="shared" si="36"/>
        <v>172.88</v>
      </c>
      <c r="R51" s="403">
        <f t="shared" si="36"/>
        <v>172.88</v>
      </c>
      <c r="S51" s="403">
        <f t="shared" si="36"/>
        <v>172.88</v>
      </c>
      <c r="T51" s="403">
        <f t="shared" si="36"/>
        <v>172.88</v>
      </c>
      <c r="U51" s="403">
        <f t="shared" si="36"/>
        <v>172.88</v>
      </c>
      <c r="V51" s="403">
        <f t="shared" si="36"/>
        <v>172.88</v>
      </c>
    </row>
    <row r="52" spans="1:22" ht="15" outlineLevel="1" thickBot="1" x14ac:dyDescent="0.4">
      <c r="A52" s="14"/>
      <c r="B52" s="14"/>
      <c r="C52" s="14"/>
      <c r="D52" s="139" t="s">
        <v>194</v>
      </c>
      <c r="E52" s="139"/>
      <c r="F52" s="141" t="s">
        <v>168</v>
      </c>
      <c r="G52" s="139"/>
      <c r="H52" s="139">
        <f>SUM(H42:H51)</f>
        <v>491.96</v>
      </c>
      <c r="I52" s="139">
        <f>SUM(I42:I51)</f>
        <v>799.26</v>
      </c>
      <c r="J52" s="361">
        <f>SUM(J42:J51)</f>
        <v>1053.8000000000002</v>
      </c>
      <c r="K52" s="361">
        <f>SUM(K42:K51)</f>
        <v>1461.4</v>
      </c>
      <c r="L52" s="361">
        <f>SUM(L42:L51)</f>
        <v>1747.31</v>
      </c>
      <c r="M52" s="361">
        <f t="shared" ref="M52:V52" si="37">SUM(M42:M51)</f>
        <v>1715.3328401221338</v>
      </c>
      <c r="N52" s="361">
        <f t="shared" si="37"/>
        <v>1766.9168953109015</v>
      </c>
      <c r="O52" s="361">
        <f t="shared" si="37"/>
        <v>1822.5690822823371</v>
      </c>
      <c r="P52" s="361">
        <f t="shared" si="37"/>
        <v>1879.889088656329</v>
      </c>
      <c r="Q52" s="361">
        <f t="shared" si="37"/>
        <v>1941.1769841204941</v>
      </c>
      <c r="R52" s="361">
        <f t="shared" si="37"/>
        <v>2006.4190670868147</v>
      </c>
      <c r="S52" s="361">
        <f t="shared" si="37"/>
        <v>2072.6190241131198</v>
      </c>
      <c r="T52" s="361">
        <f t="shared" si="37"/>
        <v>2142.6654774264139</v>
      </c>
      <c r="U52" s="361">
        <f t="shared" si="37"/>
        <v>2216.5071281585288</v>
      </c>
      <c r="V52" s="361">
        <f t="shared" si="37"/>
        <v>2290.6784259411525</v>
      </c>
    </row>
    <row r="53" spans="1:22" ht="15" outlineLevel="1" thickTop="1" x14ac:dyDescent="0.35">
      <c r="A53" s="14"/>
      <c r="B53" s="14"/>
      <c r="C53" s="14"/>
      <c r="D53" s="14"/>
      <c r="E53" s="14"/>
      <c r="F53" s="14"/>
      <c r="G53" s="14"/>
      <c r="H53" s="129"/>
      <c r="I53" s="129"/>
      <c r="J53" s="129"/>
      <c r="K53" s="129"/>
      <c r="L53" s="129"/>
      <c r="M53" s="14"/>
      <c r="N53" s="14"/>
      <c r="O53" s="14"/>
      <c r="P53" s="14"/>
      <c r="Q53" s="14"/>
    </row>
    <row r="54" spans="1:22" outlineLevel="1" x14ac:dyDescent="0.35">
      <c r="A54" s="14"/>
      <c r="B54" s="18" t="s">
        <v>195</v>
      </c>
      <c r="C54" s="14"/>
      <c r="D54" s="14"/>
      <c r="E54" s="14"/>
      <c r="F54" s="14"/>
      <c r="G54" s="14"/>
      <c r="H54" s="14"/>
      <c r="I54" s="14"/>
      <c r="J54" s="14"/>
      <c r="K54" s="14"/>
      <c r="L54" s="14"/>
      <c r="M54" s="14"/>
      <c r="N54" s="14"/>
      <c r="O54" s="14"/>
      <c r="P54" s="14"/>
      <c r="Q54" s="14"/>
    </row>
    <row r="55" spans="1:22" outlineLevel="1" x14ac:dyDescent="0.35">
      <c r="A55" s="14"/>
      <c r="B55" s="14"/>
      <c r="C55" s="18" t="s">
        <v>196</v>
      </c>
      <c r="D55" s="14"/>
      <c r="E55" s="14"/>
      <c r="F55" s="14"/>
      <c r="G55" s="14"/>
      <c r="I55" s="14"/>
      <c r="J55" s="14"/>
      <c r="K55" s="14"/>
      <c r="L55" s="14"/>
      <c r="M55" s="14"/>
      <c r="N55" s="14"/>
      <c r="O55" s="14"/>
      <c r="P55" s="14"/>
      <c r="Q55" s="14"/>
    </row>
    <row r="56" spans="1:22" outlineLevel="1" x14ac:dyDescent="0.35">
      <c r="A56" s="14"/>
      <c r="B56" s="14"/>
      <c r="C56" s="14"/>
      <c r="D56" s="14" t="s">
        <v>164</v>
      </c>
      <c r="E56" s="14"/>
      <c r="F56" s="133" t="s">
        <v>170</v>
      </c>
      <c r="G56" s="14"/>
      <c r="H56" s="357">
        <f>'Historical '!J71</f>
        <v>66.08</v>
      </c>
      <c r="I56" s="357">
        <f>'Historical '!K71</f>
        <v>98.88</v>
      </c>
      <c r="J56" s="357">
        <f>'Historical '!L71</f>
        <v>156.55000000000001</v>
      </c>
      <c r="K56" s="357">
        <f>'Historical '!M71</f>
        <v>144.6</v>
      </c>
      <c r="L56" s="357">
        <f>'Historical '!N71</f>
        <v>263.19</v>
      </c>
      <c r="M56" s="373">
        <f>(M19/365)*-M25</f>
        <v>196.51899090116848</v>
      </c>
      <c r="N56" s="373">
        <f t="shared" ref="N56:V56" si="38">(N19/365)*-N25</f>
        <v>209.44994050246538</v>
      </c>
      <c r="O56" s="373">
        <f t="shared" si="38"/>
        <v>222.40483822242388</v>
      </c>
      <c r="P56" s="373">
        <f t="shared" si="38"/>
        <v>235.33565123293326</v>
      </c>
      <c r="Q56" s="373">
        <f t="shared" si="38"/>
        <v>248.19731577950574</v>
      </c>
      <c r="R56" s="373">
        <f t="shared" si="38"/>
        <v>260.94802636746806</v>
      </c>
      <c r="S56" s="373">
        <f t="shared" si="38"/>
        <v>273.5494374146665</v>
      </c>
      <c r="T56" s="373">
        <f t="shared" si="38"/>
        <v>285.96678508938544</v>
      </c>
      <c r="U56" s="373">
        <f t="shared" si="38"/>
        <v>298.16893796453144</v>
      </c>
      <c r="V56" s="373">
        <f t="shared" si="38"/>
        <v>310.12838557931065</v>
      </c>
    </row>
    <row r="57" spans="1:22" outlineLevel="1" x14ac:dyDescent="0.35">
      <c r="A57" s="14"/>
      <c r="B57" s="14"/>
      <c r="C57" s="14"/>
      <c r="D57" s="14" t="s">
        <v>197</v>
      </c>
      <c r="E57" s="14"/>
      <c r="F57" s="133" t="s">
        <v>170</v>
      </c>
      <c r="G57" s="14"/>
      <c r="H57" s="352">
        <f>SUM('Historical '!J70,'Historical '!J72,'Historical '!J73,'Historical '!J74,'Historical '!J75)</f>
        <v>26.07</v>
      </c>
      <c r="I57" s="352">
        <f>SUM('Historical '!K70,'Historical '!K72,'Historical '!K73,'Historical '!K74,'Historical '!K75)</f>
        <v>43.02</v>
      </c>
      <c r="J57" s="352">
        <f>SUM('Historical '!L70,'Historical '!L72,'Historical '!L73,'Historical '!L74,'Historical '!L75)</f>
        <v>20.059999999999999</v>
      </c>
      <c r="K57" s="352">
        <f>SUM('Historical '!M70,'Historical '!M72,'Historical '!M73,'Historical '!M74,'Historical '!M75)</f>
        <v>113.07</v>
      </c>
      <c r="L57" s="352">
        <f>SUM('Historical '!N70,'Historical '!N72,'Historical '!N73,'Historical '!N74,'Historical '!N75)</f>
        <v>74.269999999999982</v>
      </c>
      <c r="M57" s="373">
        <f>L57</f>
        <v>74.269999999999982</v>
      </c>
      <c r="N57" s="373">
        <f t="shared" ref="N57:V57" si="39">M57</f>
        <v>74.269999999999982</v>
      </c>
      <c r="O57" s="373">
        <f t="shared" si="39"/>
        <v>74.269999999999982</v>
      </c>
      <c r="P57" s="373">
        <f t="shared" si="39"/>
        <v>74.269999999999982</v>
      </c>
      <c r="Q57" s="373">
        <f t="shared" si="39"/>
        <v>74.269999999999982</v>
      </c>
      <c r="R57" s="373">
        <f t="shared" si="39"/>
        <v>74.269999999999982</v>
      </c>
      <c r="S57" s="373">
        <f t="shared" si="39"/>
        <v>74.269999999999982</v>
      </c>
      <c r="T57" s="373">
        <f t="shared" si="39"/>
        <v>74.269999999999982</v>
      </c>
      <c r="U57" s="373">
        <f t="shared" si="39"/>
        <v>74.269999999999982</v>
      </c>
      <c r="V57" s="373">
        <f t="shared" si="39"/>
        <v>74.269999999999982</v>
      </c>
    </row>
    <row r="58" spans="1:22" outlineLevel="1" x14ac:dyDescent="0.35">
      <c r="A58" s="14"/>
      <c r="B58" s="14"/>
      <c r="C58" s="18" t="s">
        <v>198</v>
      </c>
      <c r="D58" s="14"/>
      <c r="E58" s="14"/>
      <c r="F58" s="133"/>
      <c r="G58" s="14"/>
      <c r="H58" s="360"/>
      <c r="I58" s="134"/>
      <c r="J58" s="134"/>
      <c r="K58" s="134"/>
      <c r="L58" s="134"/>
      <c r="M58" s="14"/>
      <c r="N58" s="14"/>
      <c r="O58" s="14"/>
      <c r="P58" s="14"/>
      <c r="Q58" s="14"/>
    </row>
    <row r="59" spans="1:22" outlineLevel="1" x14ac:dyDescent="0.35">
      <c r="A59" s="14"/>
      <c r="B59" s="14"/>
      <c r="C59" s="14"/>
      <c r="D59" s="14" t="s">
        <v>199</v>
      </c>
      <c r="E59" s="14"/>
      <c r="F59" s="133" t="s">
        <v>170</v>
      </c>
      <c r="G59" s="14"/>
      <c r="H59" s="352">
        <f>SUM('Historical '!J61,'Historical '!J69)</f>
        <v>201.89</v>
      </c>
      <c r="I59" s="352">
        <f>SUM('Historical '!K61,'Historical '!K69)</f>
        <v>197.72</v>
      </c>
      <c r="J59" s="352">
        <f>'Historical '!L61+'Historical '!L69</f>
        <v>362.21000000000004</v>
      </c>
      <c r="K59" s="352">
        <f>'Historical '!M61+'Historical '!M69</f>
        <v>393.53000000000003</v>
      </c>
      <c r="L59" s="388">
        <f>'Historical '!N61+'Historical '!N69</f>
        <v>566.04</v>
      </c>
      <c r="M59" s="373">
        <f>L59</f>
        <v>566.04</v>
      </c>
      <c r="N59" s="373">
        <f t="shared" ref="N59:V59" si="40">+N120</f>
        <v>566.04</v>
      </c>
      <c r="O59" s="373">
        <f t="shared" si="40"/>
        <v>566.04</v>
      </c>
      <c r="P59" s="373">
        <f t="shared" si="40"/>
        <v>566.04</v>
      </c>
      <c r="Q59" s="373">
        <f t="shared" si="40"/>
        <v>566.04</v>
      </c>
      <c r="R59" s="373">
        <f t="shared" si="40"/>
        <v>566.04</v>
      </c>
      <c r="S59" s="373">
        <f t="shared" si="40"/>
        <v>566.04</v>
      </c>
      <c r="T59" s="373">
        <f t="shared" si="40"/>
        <v>566.04</v>
      </c>
      <c r="U59" s="373">
        <f t="shared" si="40"/>
        <v>566.04</v>
      </c>
      <c r="V59" s="373">
        <f t="shared" si="40"/>
        <v>566.04</v>
      </c>
    </row>
    <row r="60" spans="1:22" outlineLevel="1" x14ac:dyDescent="0.35">
      <c r="A60" s="14"/>
      <c r="B60" s="14"/>
      <c r="C60" s="14"/>
      <c r="D60" s="127" t="s">
        <v>200</v>
      </c>
      <c r="E60" s="127"/>
      <c r="F60" s="138" t="s">
        <v>170</v>
      </c>
      <c r="G60" s="127"/>
      <c r="H60" s="359">
        <f>SUM('Historical '!J62,'Historical '!J63,'Historical '!J64,'Historical '!J65,)</f>
        <v>14.91</v>
      </c>
      <c r="I60" s="359">
        <f>SUM('Historical '!K62,'Historical '!K63,'Historical '!K64,'Historical '!K65,)</f>
        <v>20.399999999999999</v>
      </c>
      <c r="J60" s="359">
        <f>SUM('Historical '!L62,'Historical '!L63,'Historical '!L64,'Historical '!L65,)</f>
        <v>32.46</v>
      </c>
      <c r="K60" s="359">
        <f>SUM('Historical '!M62,'Historical '!M63,'Historical '!M64,'Historical '!M65,)</f>
        <v>49.91</v>
      </c>
      <c r="L60" s="359">
        <f>SUM('Historical '!N62,'Historical '!N63,'Historical '!N64,'Historical '!N65,)</f>
        <v>54.42</v>
      </c>
      <c r="M60" s="373">
        <f>L60</f>
        <v>54.42</v>
      </c>
      <c r="N60" s="373">
        <f t="shared" ref="N60:V60" si="41">M60</f>
        <v>54.42</v>
      </c>
      <c r="O60" s="373">
        <f t="shared" si="41"/>
        <v>54.42</v>
      </c>
      <c r="P60" s="373">
        <f t="shared" si="41"/>
        <v>54.42</v>
      </c>
      <c r="Q60" s="373">
        <f t="shared" si="41"/>
        <v>54.42</v>
      </c>
      <c r="R60" s="373">
        <f t="shared" si="41"/>
        <v>54.42</v>
      </c>
      <c r="S60" s="373">
        <f t="shared" si="41"/>
        <v>54.42</v>
      </c>
      <c r="T60" s="373">
        <f t="shared" si="41"/>
        <v>54.42</v>
      </c>
      <c r="U60" s="373">
        <f t="shared" si="41"/>
        <v>54.42</v>
      </c>
      <c r="V60" s="373">
        <f t="shared" si="41"/>
        <v>54.42</v>
      </c>
    </row>
    <row r="61" spans="1:22" outlineLevel="1" x14ac:dyDescent="0.35">
      <c r="A61" s="14"/>
      <c r="B61" s="14"/>
      <c r="C61" s="14"/>
      <c r="D61" s="18" t="s">
        <v>201</v>
      </c>
      <c r="E61" s="14"/>
      <c r="F61" s="132" t="s">
        <v>168</v>
      </c>
      <c r="G61" s="14"/>
      <c r="H61" s="358">
        <f>SUM(H56:H60)</f>
        <v>308.95</v>
      </c>
      <c r="I61" s="358">
        <f>SUM(I56:I60)</f>
        <v>360.02</v>
      </c>
      <c r="J61" s="358">
        <f>SUM(J56:J60)</f>
        <v>571.28000000000009</v>
      </c>
      <c r="K61" s="358">
        <f>SUM(K56:K60)</f>
        <v>701.11</v>
      </c>
      <c r="L61" s="358">
        <f>SUM(L56:L60)</f>
        <v>957.92</v>
      </c>
      <c r="M61" s="358">
        <f t="shared" ref="M61:V61" si="42">SUM(M56:M60)</f>
        <v>891.24899090116844</v>
      </c>
      <c r="N61" s="358">
        <f t="shared" si="42"/>
        <v>904.17994050246523</v>
      </c>
      <c r="O61" s="358">
        <f t="shared" si="42"/>
        <v>917.13483822242381</v>
      </c>
      <c r="P61" s="358">
        <f t="shared" si="42"/>
        <v>930.06565123293319</v>
      </c>
      <c r="Q61" s="358">
        <f t="shared" si="42"/>
        <v>942.92731577950565</v>
      </c>
      <c r="R61" s="358">
        <f t="shared" si="42"/>
        <v>955.67802636746796</v>
      </c>
      <c r="S61" s="358">
        <f t="shared" si="42"/>
        <v>968.2794374146664</v>
      </c>
      <c r="T61" s="358">
        <f t="shared" si="42"/>
        <v>980.69678508938534</v>
      </c>
      <c r="U61" s="358">
        <f t="shared" si="42"/>
        <v>992.89893796453134</v>
      </c>
      <c r="V61" s="358">
        <f t="shared" si="42"/>
        <v>1004.8583855793105</v>
      </c>
    </row>
    <row r="62" spans="1:22" outlineLevel="1" x14ac:dyDescent="0.35">
      <c r="A62" s="14"/>
      <c r="B62" s="14"/>
      <c r="C62" s="18" t="s">
        <v>202</v>
      </c>
      <c r="D62" s="14"/>
      <c r="E62" s="14"/>
      <c r="F62" s="133"/>
      <c r="G62" s="14"/>
      <c r="H62" s="14"/>
      <c r="I62" s="14"/>
      <c r="J62" s="14"/>
      <c r="K62" s="14"/>
      <c r="L62" s="14"/>
      <c r="M62" s="14"/>
      <c r="N62" s="14"/>
      <c r="O62" s="14"/>
      <c r="P62" s="14"/>
      <c r="Q62" s="14"/>
    </row>
    <row r="63" spans="1:22" outlineLevel="1" x14ac:dyDescent="0.35">
      <c r="A63" s="14"/>
      <c r="B63" s="14"/>
      <c r="C63" s="14"/>
      <c r="D63" s="14" t="s">
        <v>203</v>
      </c>
      <c r="E63" s="14"/>
      <c r="F63" s="133" t="s">
        <v>170</v>
      </c>
      <c r="G63" s="14"/>
      <c r="H63" s="352">
        <f>'Historical '!J56</f>
        <v>23.33</v>
      </c>
      <c r="I63" s="352">
        <f>'Historical '!K56</f>
        <v>24.94</v>
      </c>
      <c r="J63" s="352">
        <f>'Historical '!L56</f>
        <v>24.94</v>
      </c>
      <c r="K63" s="352">
        <f>'Historical '!M56</f>
        <v>26.38</v>
      </c>
      <c r="L63" s="352">
        <f>'Historical '!N56</f>
        <v>26.38</v>
      </c>
      <c r="M63" s="373">
        <f>L63</f>
        <v>26.38</v>
      </c>
      <c r="N63" s="373">
        <f t="shared" ref="N63:V63" si="43">M63</f>
        <v>26.38</v>
      </c>
      <c r="O63" s="373">
        <f t="shared" si="43"/>
        <v>26.38</v>
      </c>
      <c r="P63" s="373">
        <f t="shared" si="43"/>
        <v>26.38</v>
      </c>
      <c r="Q63" s="373">
        <f t="shared" si="43"/>
        <v>26.38</v>
      </c>
      <c r="R63" s="373">
        <f t="shared" si="43"/>
        <v>26.38</v>
      </c>
      <c r="S63" s="373">
        <f t="shared" si="43"/>
        <v>26.38</v>
      </c>
      <c r="T63" s="373">
        <f t="shared" si="43"/>
        <v>26.38</v>
      </c>
      <c r="U63" s="373">
        <f t="shared" si="43"/>
        <v>26.38</v>
      </c>
      <c r="V63" s="373">
        <f t="shared" si="43"/>
        <v>26.38</v>
      </c>
    </row>
    <row r="64" spans="1:22" outlineLevel="1" x14ac:dyDescent="0.35">
      <c r="A64" s="14"/>
      <c r="B64" s="14"/>
      <c r="C64" s="14"/>
      <c r="D64" s="127" t="s">
        <v>204</v>
      </c>
      <c r="E64" s="127"/>
      <c r="F64" s="138" t="s">
        <v>170</v>
      </c>
      <c r="G64" s="127"/>
      <c r="H64" s="352">
        <f>'Historical '!J57</f>
        <v>159.68</v>
      </c>
      <c r="I64" s="352">
        <f>'Historical '!K57</f>
        <v>414.3</v>
      </c>
      <c r="J64" s="352">
        <f>'Historical '!L57</f>
        <v>457.58</v>
      </c>
      <c r="K64" s="352">
        <f>'Historical '!M57</f>
        <v>733.91</v>
      </c>
      <c r="L64" s="352">
        <f>'Historical '!N57</f>
        <v>763.01</v>
      </c>
      <c r="M64" s="135">
        <f>L64+M37+M91</f>
        <v>797.70384922096559</v>
      </c>
      <c r="N64" s="135">
        <f t="shared" ref="N64:V64" si="44">M64+N37+N91</f>
        <v>836.35695480843629</v>
      </c>
      <c r="O64" s="135">
        <f t="shared" si="44"/>
        <v>879.05424405991346</v>
      </c>
      <c r="P64" s="135">
        <f t="shared" si="44"/>
        <v>923.44343742339584</v>
      </c>
      <c r="Q64" s="135">
        <f t="shared" si="44"/>
        <v>971.86966834098826</v>
      </c>
      <c r="R64" s="135">
        <f t="shared" si="44"/>
        <v>1024.3610407193469</v>
      </c>
      <c r="S64" s="135">
        <f t="shared" si="44"/>
        <v>1077.9595866984532</v>
      </c>
      <c r="T64" s="135">
        <f t="shared" si="44"/>
        <v>1135.5886923370283</v>
      </c>
      <c r="U64" s="135">
        <f t="shared" si="44"/>
        <v>1197.2281901939973</v>
      </c>
      <c r="V64" s="135">
        <f t="shared" si="44"/>
        <v>1259.4400403618417</v>
      </c>
    </row>
    <row r="65" spans="1:32" outlineLevel="1" x14ac:dyDescent="0.35">
      <c r="A65" s="14"/>
      <c r="B65" s="14"/>
      <c r="C65" s="14"/>
      <c r="D65" s="18" t="s">
        <v>202</v>
      </c>
      <c r="E65" s="14"/>
      <c r="F65" s="132" t="s">
        <v>168</v>
      </c>
      <c r="G65" s="14"/>
      <c r="H65" s="358">
        <f>SUM(H63:H64)</f>
        <v>183.01</v>
      </c>
      <c r="I65" s="358">
        <f>SUM(I63:I64)</f>
        <v>439.24</v>
      </c>
      <c r="J65" s="358">
        <f>SUM(J63:J64)</f>
        <v>482.52</v>
      </c>
      <c r="K65" s="358">
        <f>SUM(K63:K64)</f>
        <v>760.29</v>
      </c>
      <c r="L65" s="358">
        <f>SUM(L63:L64)</f>
        <v>789.39</v>
      </c>
      <c r="M65" s="358">
        <f t="shared" ref="M65:V65" si="45">SUM(M63:M64)</f>
        <v>824.08384922096559</v>
      </c>
      <c r="N65" s="358">
        <f t="shared" si="45"/>
        <v>862.73695480843628</v>
      </c>
      <c r="O65" s="358">
        <f t="shared" si="45"/>
        <v>905.43424405991345</v>
      </c>
      <c r="P65" s="358">
        <f t="shared" si="45"/>
        <v>949.82343742339583</v>
      </c>
      <c r="Q65" s="358">
        <f t="shared" si="45"/>
        <v>998.24966834098825</v>
      </c>
      <c r="R65" s="358">
        <f t="shared" si="45"/>
        <v>1050.741040719347</v>
      </c>
      <c r="S65" s="358">
        <f t="shared" si="45"/>
        <v>1104.3395866984533</v>
      </c>
      <c r="T65" s="358">
        <f t="shared" si="45"/>
        <v>1161.9686923370284</v>
      </c>
      <c r="U65" s="358">
        <f t="shared" si="45"/>
        <v>1223.6081901939974</v>
      </c>
      <c r="V65" s="358">
        <f t="shared" si="45"/>
        <v>1285.8200403618418</v>
      </c>
    </row>
    <row r="66" spans="1:32" ht="15" outlineLevel="1" thickBot="1" x14ac:dyDescent="0.4">
      <c r="A66" s="14"/>
      <c r="B66" s="14"/>
      <c r="C66" s="14"/>
      <c r="D66" s="139" t="s">
        <v>205</v>
      </c>
      <c r="E66" s="140"/>
      <c r="F66" s="141" t="s">
        <v>168</v>
      </c>
      <c r="G66" s="140"/>
      <c r="H66" s="102">
        <f>H61+H65</f>
        <v>491.96</v>
      </c>
      <c r="I66" s="102">
        <f>I61+I65</f>
        <v>799.26</v>
      </c>
      <c r="J66" s="102">
        <f>J61+J65</f>
        <v>1053.8000000000002</v>
      </c>
      <c r="K66" s="102">
        <f>K61+K65</f>
        <v>1461.4</v>
      </c>
      <c r="L66" s="102">
        <f>L61+L65</f>
        <v>1747.31</v>
      </c>
      <c r="M66" s="102">
        <f t="shared" ref="M66:V66" si="46">M61+M65</f>
        <v>1715.332840122134</v>
      </c>
      <c r="N66" s="102">
        <f t="shared" si="46"/>
        <v>1766.9168953109015</v>
      </c>
      <c r="O66" s="102">
        <f t="shared" si="46"/>
        <v>1822.5690822823371</v>
      </c>
      <c r="P66" s="102">
        <f t="shared" si="46"/>
        <v>1879.889088656329</v>
      </c>
      <c r="Q66" s="102">
        <f t="shared" si="46"/>
        <v>1941.1769841204939</v>
      </c>
      <c r="R66" s="102">
        <f t="shared" si="46"/>
        <v>2006.4190670868149</v>
      </c>
      <c r="S66" s="102">
        <f t="shared" si="46"/>
        <v>2072.6190241131198</v>
      </c>
      <c r="T66" s="102">
        <f t="shared" si="46"/>
        <v>2142.6654774264139</v>
      </c>
      <c r="U66" s="102">
        <f t="shared" si="46"/>
        <v>2216.5071281585288</v>
      </c>
      <c r="V66" s="102">
        <f t="shared" si="46"/>
        <v>2290.6784259411525</v>
      </c>
    </row>
    <row r="67" spans="1:32" ht="15" outlineLevel="1" thickTop="1" x14ac:dyDescent="0.35">
      <c r="A67" s="14"/>
      <c r="B67" s="14"/>
      <c r="C67" s="14"/>
      <c r="D67" s="14"/>
      <c r="E67" s="14"/>
      <c r="F67" s="14"/>
      <c r="G67" s="14"/>
      <c r="H67" s="14"/>
      <c r="I67" s="14"/>
      <c r="J67" s="14"/>
      <c r="K67" s="14"/>
      <c r="L67" s="14"/>
      <c r="M67" s="14"/>
      <c r="N67" s="14"/>
      <c r="O67" s="14"/>
      <c r="P67" s="14"/>
      <c r="Q67" s="14"/>
    </row>
    <row r="68" spans="1:32" outlineLevel="1" x14ac:dyDescent="0.35">
      <c r="A68" s="14"/>
      <c r="B68" s="14"/>
      <c r="C68" s="14"/>
      <c r="D68" s="143" t="s">
        <v>206</v>
      </c>
      <c r="F68" s="143"/>
      <c r="G68" s="143"/>
      <c r="H68" s="144">
        <f>H52-H66</f>
        <v>0</v>
      </c>
      <c r="I68" s="144">
        <f>I52-I66</f>
        <v>0</v>
      </c>
      <c r="J68" s="144">
        <f>J52-J66</f>
        <v>0</v>
      </c>
      <c r="K68" s="144">
        <f>K52-K66</f>
        <v>0</v>
      </c>
      <c r="L68" s="144">
        <f>L52-L66</f>
        <v>0</v>
      </c>
      <c r="M68" s="144">
        <f t="shared" ref="M68:V68" si="47">M52-M66</f>
        <v>0</v>
      </c>
      <c r="N68" s="144">
        <f t="shared" si="47"/>
        <v>0</v>
      </c>
      <c r="O68" s="144">
        <f t="shared" si="47"/>
        <v>0</v>
      </c>
      <c r="P68" s="144">
        <f t="shared" si="47"/>
        <v>0</v>
      </c>
      <c r="Q68" s="144">
        <f t="shared" si="47"/>
        <v>0</v>
      </c>
      <c r="R68" s="144">
        <f t="shared" si="47"/>
        <v>0</v>
      </c>
      <c r="S68" s="144">
        <f t="shared" si="47"/>
        <v>0</v>
      </c>
      <c r="T68" s="144">
        <f t="shared" si="47"/>
        <v>0</v>
      </c>
      <c r="U68" s="144">
        <f t="shared" si="47"/>
        <v>0</v>
      </c>
      <c r="V68" s="144">
        <f t="shared" si="47"/>
        <v>0</v>
      </c>
      <c r="W68" s="144"/>
      <c r="X68" s="144"/>
      <c r="Y68" s="144"/>
      <c r="Z68" s="144"/>
      <c r="AA68" s="144"/>
      <c r="AB68" s="144"/>
      <c r="AC68" s="144"/>
      <c r="AD68" s="144"/>
      <c r="AE68" s="144"/>
      <c r="AF68" s="144"/>
    </row>
    <row r="69" spans="1:32" outlineLevel="1" x14ac:dyDescent="0.35">
      <c r="A69" s="14"/>
      <c r="B69" s="14"/>
      <c r="C69" s="14"/>
      <c r="D69" s="143"/>
      <c r="E69" s="143"/>
      <c r="F69" s="143"/>
      <c r="G69" s="143"/>
      <c r="H69" s="144"/>
      <c r="I69" s="144"/>
      <c r="J69" s="144"/>
      <c r="K69" s="144"/>
      <c r="L69" s="144"/>
      <c r="M69" s="14"/>
      <c r="N69" s="14"/>
      <c r="O69" s="14"/>
      <c r="P69" s="14"/>
      <c r="Q69" s="14"/>
    </row>
    <row r="70" spans="1:32" x14ac:dyDescent="0.35">
      <c r="A70" s="14"/>
      <c r="B70" s="14"/>
      <c r="C70" s="14"/>
      <c r="D70" s="14"/>
      <c r="E70" s="145"/>
      <c r="F70" s="14"/>
      <c r="G70" s="14"/>
      <c r="H70" s="14"/>
      <c r="I70" s="14"/>
      <c r="J70" s="14"/>
      <c r="K70" s="14"/>
      <c r="L70" s="14"/>
      <c r="M70" s="14"/>
      <c r="N70" s="14"/>
      <c r="O70" s="14"/>
      <c r="P70" s="14"/>
      <c r="Q70" s="14"/>
    </row>
    <row r="71" spans="1:32" ht="20.5" x14ac:dyDescent="0.45">
      <c r="A71" s="169" t="s">
        <v>207</v>
      </c>
      <c r="B71" s="170"/>
      <c r="C71" s="170"/>
      <c r="D71" s="170"/>
      <c r="E71" s="170"/>
      <c r="F71" s="170"/>
      <c r="G71" s="170"/>
      <c r="H71" s="170"/>
      <c r="I71" s="170"/>
      <c r="J71" s="170"/>
      <c r="K71" s="170"/>
      <c r="L71" s="170"/>
      <c r="M71" s="170"/>
      <c r="N71" s="170"/>
      <c r="O71" s="170"/>
      <c r="P71" s="170"/>
      <c r="Q71" s="170"/>
      <c r="R71" s="170"/>
      <c r="S71" s="170"/>
      <c r="T71" s="170"/>
      <c r="U71" s="170"/>
      <c r="V71" s="170"/>
    </row>
    <row r="72" spans="1:32" outlineLevel="1" x14ac:dyDescent="0.35">
      <c r="A72" s="14"/>
      <c r="B72" s="14"/>
      <c r="C72" s="14"/>
      <c r="D72" s="14"/>
      <c r="E72" s="14"/>
      <c r="F72" s="14"/>
      <c r="G72" s="14"/>
      <c r="H72" s="14"/>
      <c r="I72" s="14"/>
      <c r="J72" s="14"/>
      <c r="K72" s="14"/>
      <c r="L72" s="14"/>
      <c r="M72" s="404"/>
      <c r="N72" s="404"/>
      <c r="O72" s="404"/>
      <c r="P72" s="404"/>
      <c r="Q72" s="404"/>
      <c r="R72" s="378"/>
      <c r="S72" s="378"/>
      <c r="T72" s="378"/>
      <c r="U72" s="378"/>
      <c r="V72" s="378"/>
    </row>
    <row r="73" spans="1:32" outlineLevel="1" x14ac:dyDescent="0.35">
      <c r="A73" s="14"/>
      <c r="B73" s="14"/>
      <c r="C73" s="18" t="s">
        <v>208</v>
      </c>
      <c r="D73" s="14"/>
      <c r="E73" s="14"/>
      <c r="F73" s="133" t="s">
        <v>170</v>
      </c>
      <c r="G73" s="14"/>
      <c r="M73" s="404"/>
      <c r="N73" s="404"/>
      <c r="O73" s="404"/>
      <c r="P73" s="404"/>
      <c r="Q73" s="404"/>
      <c r="R73" s="378"/>
      <c r="S73" s="378"/>
      <c r="T73" s="378"/>
      <c r="U73" s="378"/>
      <c r="V73" s="378"/>
    </row>
    <row r="74" spans="1:32" outlineLevel="1" x14ac:dyDescent="0.35">
      <c r="A74" s="14"/>
      <c r="B74" s="14"/>
      <c r="C74" s="14"/>
      <c r="D74" s="14" t="s">
        <v>181</v>
      </c>
      <c r="E74" s="14"/>
      <c r="F74" s="133" t="s">
        <v>170</v>
      </c>
      <c r="G74" s="14"/>
      <c r="H74" s="357">
        <f>SUM('Historical '!J84,'Historical '!J110)</f>
        <v>33.840000000000003</v>
      </c>
      <c r="I74" s="357">
        <f>SUM('Historical '!K84,'Historical '!K110)</f>
        <v>47.269999999999996</v>
      </c>
      <c r="J74" s="357">
        <f>SUM('Historical '!L84,'Historical '!L110)</f>
        <v>59.510000000000005</v>
      </c>
      <c r="K74" s="357">
        <f>SUM('Historical '!M84,'Historical '!M110)</f>
        <v>43.02</v>
      </c>
      <c r="L74" s="357">
        <f>SUM('Historical '!N84,'Historical '!N110)</f>
        <v>37.86</v>
      </c>
      <c r="M74" s="405">
        <f>M37</f>
        <v>40.964592584753412</v>
      </c>
      <c r="N74" s="405">
        <f t="shared" ref="N74:V74" si="48">N37</f>
        <v>45.639465152495461</v>
      </c>
      <c r="O74" s="405">
        <f t="shared" si="48"/>
        <v>50.414615210904813</v>
      </c>
      <c r="P74" s="405">
        <f t="shared" si="48"/>
        <v>52.412322706528556</v>
      </c>
      <c r="Q74" s="405">
        <f t="shared" si="48"/>
        <v>57.179035030669539</v>
      </c>
      <c r="R74" s="405">
        <f t="shared" si="48"/>
        <v>61.978930904980345</v>
      </c>
      <c r="S74" s="405">
        <f t="shared" si="48"/>
        <v>63.286220712645324</v>
      </c>
      <c r="T74" s="405">
        <f t="shared" si="48"/>
        <v>68.045284294408333</v>
      </c>
      <c r="U74" s="405">
        <f t="shared" si="48"/>
        <v>72.780535268875013</v>
      </c>
      <c r="V74" s="405">
        <f t="shared" si="48"/>
        <v>73.456337457343921</v>
      </c>
    </row>
    <row r="75" spans="1:32" outlineLevel="1" x14ac:dyDescent="0.35">
      <c r="A75" s="14"/>
      <c r="B75" s="14"/>
      <c r="C75" s="14"/>
      <c r="D75" s="14" t="s">
        <v>209</v>
      </c>
      <c r="E75" s="14"/>
      <c r="F75" s="133" t="s">
        <v>170</v>
      </c>
      <c r="G75" s="14"/>
      <c r="H75" s="352">
        <f>'Historical '!J91</f>
        <v>6.9</v>
      </c>
      <c r="I75" s="352">
        <f>'Historical '!K91</f>
        <v>11.69</v>
      </c>
      <c r="J75" s="352">
        <f>'Historical '!L91</f>
        <v>16.2</v>
      </c>
      <c r="K75" s="352">
        <f>'Historical '!M91</f>
        <v>22.87</v>
      </c>
      <c r="L75" s="352">
        <f>'Historical '!N91</f>
        <v>27.79</v>
      </c>
      <c r="M75" s="405">
        <f>-M31</f>
        <v>22.777738026647459</v>
      </c>
      <c r="N75" s="405">
        <f t="shared" ref="N75:V75" si="49">-N31</f>
        <v>25.889348229512144</v>
      </c>
      <c r="O75" s="405">
        <f t="shared" si="49"/>
        <v>28.874395110338263</v>
      </c>
      <c r="P75" s="405">
        <f t="shared" si="49"/>
        <v>35.633227452944688</v>
      </c>
      <c r="Q75" s="405">
        <f t="shared" si="49"/>
        <v>38.539399886839888</v>
      </c>
      <c r="R75" s="405">
        <f t="shared" si="49"/>
        <v>41.312872672714427</v>
      </c>
      <c r="S75" s="405">
        <f t="shared" si="49"/>
        <v>48.765105586529486</v>
      </c>
      <c r="T75" s="405">
        <f t="shared" si="49"/>
        <v>51.323411392193904</v>
      </c>
      <c r="U75" s="405">
        <f t="shared" si="49"/>
        <v>53.752162442889947</v>
      </c>
      <c r="V75" s="405">
        <f t="shared" si="49"/>
        <v>61.581969043814716</v>
      </c>
    </row>
    <row r="76" spans="1:32" outlineLevel="1" x14ac:dyDescent="0.35">
      <c r="A76" s="14"/>
      <c r="B76" s="14"/>
      <c r="C76" s="14"/>
      <c r="D76" s="14" t="s">
        <v>210</v>
      </c>
      <c r="E76" s="14"/>
      <c r="F76" s="133" t="s">
        <v>170</v>
      </c>
      <c r="G76" s="14"/>
      <c r="H76" s="352">
        <f>'Historical '!J93-'Historical '!J91</f>
        <v>6.2399999999999984</v>
      </c>
      <c r="I76" s="352">
        <f>'Historical '!K93-'Historical '!K91</f>
        <v>12.530000000000003</v>
      </c>
      <c r="J76" s="352">
        <f>'Historical '!L93-'Historical '!L91</f>
        <v>29.840000000000007</v>
      </c>
      <c r="K76" s="352">
        <f>'Historical '!M93-'Historical '!M91</f>
        <v>33.709999999999994</v>
      </c>
      <c r="L76" s="352">
        <f>'Historical '!N93-'Historical '!N91</f>
        <v>65.59</v>
      </c>
      <c r="M76" s="405">
        <f>-M33-M34</f>
        <v>62.215993346316182</v>
      </c>
      <c r="N76" s="405">
        <f t="shared" ref="N76:V76" si="50">-N33-N34</f>
        <v>61.83812419516822</v>
      </c>
      <c r="O76" s="405">
        <f t="shared" si="50"/>
        <v>61.459555230352336</v>
      </c>
      <c r="P76" s="405">
        <f t="shared" si="50"/>
        <v>61.081690070670327</v>
      </c>
      <c r="Q76" s="405">
        <f t="shared" si="50"/>
        <v>60.705845572438292</v>
      </c>
      <c r="R76" s="405">
        <f t="shared" si="50"/>
        <v>60.333243378866726</v>
      </c>
      <c r="S76" s="405">
        <f t="shared" si="50"/>
        <v>59.965004027350439</v>
      </c>
      <c r="T76" s="405">
        <f t="shared" si="50"/>
        <v>59.602143389112044</v>
      </c>
      <c r="U76" s="405">
        <f t="shared" si="50"/>
        <v>59.245571188981707</v>
      </c>
      <c r="V76" s="405">
        <f t="shared" si="50"/>
        <v>58.896091339648613</v>
      </c>
    </row>
    <row r="77" spans="1:32" outlineLevel="1" x14ac:dyDescent="0.35">
      <c r="A77" s="14"/>
      <c r="B77" s="14"/>
      <c r="C77" s="14"/>
      <c r="D77" s="4" t="s">
        <v>211</v>
      </c>
      <c r="E77" s="127"/>
      <c r="F77" s="138" t="s">
        <v>170</v>
      </c>
      <c r="G77" s="127"/>
      <c r="H77" s="354">
        <f>+SUM('Historical '!J96:J107)</f>
        <v>36.589999999999996</v>
      </c>
      <c r="I77" s="354">
        <f>+SUM('Historical '!K96:K107)</f>
        <v>-70.079999999999984</v>
      </c>
      <c r="J77" s="354">
        <f>+SUM('Historical '!L96:L107)</f>
        <v>-135.9</v>
      </c>
      <c r="K77" s="354">
        <f>+SUM('Historical '!M96:M107)</f>
        <v>-128.76</v>
      </c>
      <c r="L77" s="354">
        <f>+SUM('Historical '!N96:N107)</f>
        <v>64.739999999999995</v>
      </c>
      <c r="M77" s="407">
        <f t="shared" ref="M77" si="51">M108</f>
        <v>-140.5225481968333</v>
      </c>
      <c r="N77" s="407">
        <f t="shared" ref="N77:V77" si="52">N108</f>
        <v>-25.443711671351707</v>
      </c>
      <c r="O77" s="407">
        <f t="shared" si="52"/>
        <v>-25.490833425366958</v>
      </c>
      <c r="P77" s="407">
        <f t="shared" si="52"/>
        <v>-25.443442907129224</v>
      </c>
      <c r="Q77" s="407">
        <f t="shared" si="52"/>
        <v>-25.307382243900719</v>
      </c>
      <c r="R77" s="407">
        <f t="shared" si="52"/>
        <v>-25.089062583031534</v>
      </c>
      <c r="S77" s="407">
        <f t="shared" si="52"/>
        <v>-24.795291855823677</v>
      </c>
      <c r="T77" s="407">
        <f t="shared" si="52"/>
        <v>-24.433117729171954</v>
      </c>
      <c r="U77" s="407">
        <f t="shared" si="52"/>
        <v>-24.009687540181119</v>
      </c>
      <c r="V77" s="407">
        <f t="shared" si="52"/>
        <v>-23.532126119226291</v>
      </c>
    </row>
    <row r="78" spans="1:32" outlineLevel="1" x14ac:dyDescent="0.35">
      <c r="A78" s="14"/>
      <c r="B78" s="14"/>
      <c r="C78" s="14"/>
      <c r="D78" s="18" t="s">
        <v>212</v>
      </c>
      <c r="E78" s="14"/>
      <c r="F78" s="132" t="s">
        <v>168</v>
      </c>
      <c r="G78" s="14"/>
      <c r="H78" s="365">
        <f>SUM(H74:H77)</f>
        <v>83.57</v>
      </c>
      <c r="I78" s="365">
        <f>SUM(I74:I77)</f>
        <v>1.4100000000000108</v>
      </c>
      <c r="J78" s="365">
        <f>SUM(J74:J77)</f>
        <v>-30.349999999999994</v>
      </c>
      <c r="K78" s="365">
        <f>SUM(K74:K77)</f>
        <v>-29.159999999999997</v>
      </c>
      <c r="L78" s="365">
        <f>SUM(L74:L77)</f>
        <v>195.98000000000002</v>
      </c>
      <c r="M78" s="368">
        <f t="shared" ref="M78:V78" si="53">SUM(M74:M77)</f>
        <v>-14.564224239116243</v>
      </c>
      <c r="N78" s="368">
        <f t="shared" si="53"/>
        <v>107.9232259058241</v>
      </c>
      <c r="O78" s="368">
        <f t="shared" si="53"/>
        <v>115.25773212622843</v>
      </c>
      <c r="P78" s="368">
        <f t="shared" si="53"/>
        <v>123.68379732301435</v>
      </c>
      <c r="Q78" s="368">
        <f t="shared" si="53"/>
        <v>131.11689824604699</v>
      </c>
      <c r="R78" s="368">
        <f t="shared" si="53"/>
        <v>138.53598437352997</v>
      </c>
      <c r="S78" s="368">
        <f t="shared" si="53"/>
        <v>147.22103847070156</v>
      </c>
      <c r="T78" s="368">
        <f t="shared" si="53"/>
        <v>154.53772134654233</v>
      </c>
      <c r="U78" s="368">
        <f t="shared" si="53"/>
        <v>161.76858136056555</v>
      </c>
      <c r="V78" s="368">
        <f t="shared" si="53"/>
        <v>170.40227172158097</v>
      </c>
    </row>
    <row r="79" spans="1:32" outlineLevel="1" x14ac:dyDescent="0.35">
      <c r="A79" s="14"/>
      <c r="B79" s="14"/>
      <c r="C79" s="14"/>
      <c r="D79" s="14"/>
      <c r="E79" s="14"/>
      <c r="F79" s="133"/>
      <c r="G79" s="14"/>
      <c r="H79" s="147"/>
      <c r="I79" s="147"/>
      <c r="J79" s="147"/>
      <c r="K79" s="147"/>
      <c r="L79" s="147"/>
      <c r="M79" s="404"/>
      <c r="N79" s="404"/>
      <c r="O79" s="404"/>
      <c r="P79" s="404"/>
      <c r="Q79" s="404"/>
      <c r="R79" s="378"/>
      <c r="S79" s="378"/>
      <c r="T79" s="378"/>
      <c r="U79" s="378"/>
      <c r="V79" s="378"/>
    </row>
    <row r="80" spans="1:32" outlineLevel="1" x14ac:dyDescent="0.35">
      <c r="A80" s="14"/>
      <c r="B80" s="14"/>
      <c r="C80" s="18" t="s">
        <v>213</v>
      </c>
      <c r="D80" s="14"/>
      <c r="E80" s="14"/>
      <c r="F80" s="133"/>
      <c r="G80" s="14"/>
      <c r="H80" s="68"/>
      <c r="I80" s="68"/>
      <c r="J80" s="68"/>
      <c r="K80" s="68"/>
      <c r="L80" s="68"/>
      <c r="M80" s="404"/>
      <c r="N80" s="404"/>
      <c r="O80" s="404"/>
      <c r="P80" s="404"/>
      <c r="Q80" s="404"/>
      <c r="R80" s="378"/>
      <c r="S80" s="378"/>
      <c r="T80" s="378"/>
      <c r="U80" s="378"/>
      <c r="V80" s="378"/>
    </row>
    <row r="81" spans="1:22" outlineLevel="1" x14ac:dyDescent="0.35">
      <c r="A81" s="14"/>
      <c r="B81" s="14"/>
      <c r="C81" s="14"/>
      <c r="D81" s="14" t="s">
        <v>214</v>
      </c>
      <c r="E81" s="14"/>
      <c r="F81" s="133" t="s">
        <v>170</v>
      </c>
      <c r="G81" s="14"/>
      <c r="H81" s="372">
        <f>SUM('Historical '!J119,'Historical '!J120,'Historical '!J122)</f>
        <v>-135.04</v>
      </c>
      <c r="I81" s="372">
        <f>SUM('Historical '!K119,'Historical '!K120,'Historical '!K122)</f>
        <v>-66.069999999999993</v>
      </c>
      <c r="J81" s="372">
        <f>SUM('Historical '!L119,'Historical '!L120,'Historical '!L122)</f>
        <v>-103.74</v>
      </c>
      <c r="K81" s="372">
        <f>SUM('Historical '!M119,'Historical '!M120,'Historical '!M122)</f>
        <v>-302.77</v>
      </c>
      <c r="L81" s="372">
        <f>SUM('Historical '!N119,'Historical '!N120,'Historical '!N122)</f>
        <v>-317.71000000000004</v>
      </c>
      <c r="M81" s="405">
        <f>-M112</f>
        <v>-99.154999999999987</v>
      </c>
      <c r="N81" s="405">
        <f t="shared" ref="N81:V81" si="54">-N112</f>
        <v>-99.159999999999982</v>
      </c>
      <c r="O81" s="405">
        <f t="shared" si="54"/>
        <v>-99.164999999999978</v>
      </c>
      <c r="P81" s="405">
        <f t="shared" si="54"/>
        <v>-99.169999999999973</v>
      </c>
      <c r="Q81" s="405">
        <f t="shared" si="54"/>
        <v>-99.174999999999969</v>
      </c>
      <c r="R81" s="405">
        <f t="shared" si="54"/>
        <v>-99.179999999999964</v>
      </c>
      <c r="S81" s="405">
        <f t="shared" si="54"/>
        <v>-99.18499999999996</v>
      </c>
      <c r="T81" s="405">
        <f t="shared" si="54"/>
        <v>-99.189999999999955</v>
      </c>
      <c r="U81" s="405">
        <f t="shared" si="54"/>
        <v>-99.194999999999951</v>
      </c>
      <c r="V81" s="405">
        <f t="shared" si="54"/>
        <v>-99.199999999999946</v>
      </c>
    </row>
    <row r="82" spans="1:22" outlineLevel="1" x14ac:dyDescent="0.35">
      <c r="A82" s="14"/>
      <c r="B82" s="14"/>
      <c r="C82" s="14"/>
      <c r="D82" s="14" t="s">
        <v>215</v>
      </c>
      <c r="E82" s="14"/>
      <c r="F82" s="133" t="s">
        <v>170</v>
      </c>
      <c r="G82" s="14"/>
      <c r="H82" s="372" t="str">
        <f>'Historical '!J121</f>
        <v>-</v>
      </c>
      <c r="I82" s="372">
        <f>'Historical '!K121</f>
        <v>0.11</v>
      </c>
      <c r="J82" s="372" t="str">
        <f>'Historical '!L121</f>
        <v>-</v>
      </c>
      <c r="K82" s="372" t="str">
        <f>'Historical '!M121</f>
        <v>-</v>
      </c>
      <c r="L82" s="372">
        <f>'Historical '!N121</f>
        <v>0.48</v>
      </c>
      <c r="M82" s="406"/>
      <c r="N82" s="406"/>
      <c r="O82" s="406"/>
      <c r="P82" s="406"/>
      <c r="Q82" s="406"/>
      <c r="R82" s="406"/>
      <c r="S82" s="406"/>
      <c r="T82" s="406"/>
      <c r="U82" s="406"/>
      <c r="V82" s="406"/>
    </row>
    <row r="83" spans="1:22" outlineLevel="1" x14ac:dyDescent="0.35">
      <c r="A83" s="14"/>
      <c r="B83" s="14"/>
      <c r="C83" s="14"/>
      <c r="D83" s="14" t="s">
        <v>216</v>
      </c>
      <c r="E83" s="14"/>
      <c r="F83" s="133" t="s">
        <v>170</v>
      </c>
      <c r="G83" s="14"/>
      <c r="H83" s="372">
        <f>'Historical '!J114+'Historical '!J118</f>
        <v>0.34</v>
      </c>
      <c r="I83" s="372">
        <f>'Historical '!K114+'Historical '!K118</f>
        <v>-80.95</v>
      </c>
      <c r="J83" s="372">
        <f>'Historical '!L114+'Historical '!L118</f>
        <v>4.8600000000000003</v>
      </c>
      <c r="K83" s="372">
        <f>'Historical '!M114+'Historical '!M118</f>
        <v>0</v>
      </c>
      <c r="L83" s="372">
        <f>'Historical '!N114+'Historical '!N118</f>
        <v>-0.45</v>
      </c>
      <c r="M83" s="406">
        <f>M50-L50</f>
        <v>0</v>
      </c>
      <c r="N83" s="406">
        <f t="shared" ref="N83:V83" si="55">N50-M50</f>
        <v>0</v>
      </c>
      <c r="O83" s="406">
        <f t="shared" si="55"/>
        <v>0</v>
      </c>
      <c r="P83" s="406">
        <f t="shared" si="55"/>
        <v>0</v>
      </c>
      <c r="Q83" s="406">
        <f t="shared" si="55"/>
        <v>0</v>
      </c>
      <c r="R83" s="406">
        <f t="shared" si="55"/>
        <v>0</v>
      </c>
      <c r="S83" s="406">
        <f t="shared" si="55"/>
        <v>0</v>
      </c>
      <c r="T83" s="406">
        <f t="shared" si="55"/>
        <v>0</v>
      </c>
      <c r="U83" s="406">
        <f t="shared" si="55"/>
        <v>0</v>
      </c>
      <c r="V83" s="406">
        <f t="shared" si="55"/>
        <v>0</v>
      </c>
    </row>
    <row r="84" spans="1:22" outlineLevel="1" x14ac:dyDescent="0.35">
      <c r="A84" s="14"/>
      <c r="B84" s="14"/>
      <c r="C84" s="14"/>
      <c r="D84" s="14" t="s">
        <v>217</v>
      </c>
      <c r="E84" s="14"/>
      <c r="F84" s="133" t="s">
        <v>170</v>
      </c>
      <c r="G84" s="14"/>
      <c r="H84" s="415">
        <v>0</v>
      </c>
      <c r="I84" s="415">
        <v>0</v>
      </c>
      <c r="J84" s="415">
        <v>0</v>
      </c>
      <c r="K84" s="415">
        <v>0</v>
      </c>
      <c r="L84" s="415">
        <v>0</v>
      </c>
      <c r="M84" s="413"/>
      <c r="N84" s="413"/>
      <c r="O84" s="413"/>
      <c r="P84" s="413"/>
      <c r="Q84" s="413"/>
      <c r="R84" s="413"/>
      <c r="S84" s="413"/>
      <c r="T84" s="413"/>
      <c r="U84" s="413"/>
      <c r="V84" s="413"/>
    </row>
    <row r="85" spans="1:22" outlineLevel="1" x14ac:dyDescent="0.35">
      <c r="A85" s="14"/>
      <c r="B85" s="14"/>
      <c r="C85" s="14"/>
      <c r="D85" s="14" t="s">
        <v>121</v>
      </c>
      <c r="E85" s="14"/>
      <c r="F85" s="133" t="s">
        <v>170</v>
      </c>
      <c r="G85" s="14"/>
      <c r="H85" s="372">
        <f>SUM('Historical '!J115,'Historical '!J116,'Historical '!J117)</f>
        <v>0.13</v>
      </c>
      <c r="I85" s="372">
        <f>SUM('Historical '!K115,'Historical '!K116,'Historical '!K117)</f>
        <v>1.08</v>
      </c>
      <c r="J85" s="372">
        <f>SUM('Historical '!L115,'Historical '!L116,'Historical '!L117)</f>
        <v>4.42</v>
      </c>
      <c r="K85" s="372">
        <f>SUM('Historical '!M115,'Historical '!M116,'Historical '!M117)</f>
        <v>87.19</v>
      </c>
      <c r="L85" s="372">
        <f>SUM('Historical '!N115,'Historical '!N116,'Historical '!N117)</f>
        <v>1.0900000000000001</v>
      </c>
      <c r="M85" s="405">
        <f>M34</f>
        <v>5.742692266686265</v>
      </c>
      <c r="N85" s="405">
        <f t="shared" ref="N85:V85" si="56">N34</f>
        <v>6.1205614178342218</v>
      </c>
      <c r="O85" s="405">
        <f t="shared" si="56"/>
        <v>6.4991303826501046</v>
      </c>
      <c r="P85" s="405">
        <f t="shared" si="56"/>
        <v>6.8769955423321187</v>
      </c>
      <c r="Q85" s="405">
        <f t="shared" si="56"/>
        <v>7.2528400405641493</v>
      </c>
      <c r="R85" s="405">
        <f t="shared" si="56"/>
        <v>7.6254422341357158</v>
      </c>
      <c r="S85" s="405">
        <f t="shared" si="56"/>
        <v>7.9936815856520029</v>
      </c>
      <c r="T85" s="405">
        <f t="shared" si="56"/>
        <v>8.356542223890397</v>
      </c>
      <c r="U85" s="405">
        <f t="shared" si="56"/>
        <v>8.7131144240207394</v>
      </c>
      <c r="V85" s="405">
        <f t="shared" si="56"/>
        <v>9.0625942733538327</v>
      </c>
    </row>
    <row r="86" spans="1:22" outlineLevel="1" x14ac:dyDescent="0.35">
      <c r="A86" s="14"/>
      <c r="B86" s="14"/>
      <c r="C86" s="14"/>
      <c r="D86" s="74" t="s">
        <v>218</v>
      </c>
      <c r="E86" s="75"/>
      <c r="F86" s="148" t="s">
        <v>170</v>
      </c>
      <c r="G86" s="75"/>
      <c r="H86" s="368">
        <f>SUM(H81:H85)</f>
        <v>-134.57</v>
      </c>
      <c r="I86" s="368">
        <f>SUM(I81:I85)</f>
        <v>-145.82999999999998</v>
      </c>
      <c r="J86" s="368">
        <f>SUM(J81:J85)</f>
        <v>-94.46</v>
      </c>
      <c r="K86" s="368">
        <f>SUM(K81:K85)</f>
        <v>-215.57999999999998</v>
      </c>
      <c r="L86" s="368">
        <f>SUM(L81:L85)</f>
        <v>-316.59000000000003</v>
      </c>
      <c r="M86" s="368">
        <f t="shared" ref="M86:V86" si="57">SUM(M81:M85)</f>
        <v>-93.412307733313725</v>
      </c>
      <c r="N86" s="368">
        <f t="shared" si="57"/>
        <v>-93.039438582165758</v>
      </c>
      <c r="O86" s="368">
        <f t="shared" si="57"/>
        <v>-92.66586961734987</v>
      </c>
      <c r="P86" s="368">
        <f t="shared" si="57"/>
        <v>-92.293004457667848</v>
      </c>
      <c r="Q86" s="368">
        <f t="shared" si="57"/>
        <v>-91.922159959435817</v>
      </c>
      <c r="R86" s="368">
        <f t="shared" si="57"/>
        <v>-91.554557765864246</v>
      </c>
      <c r="S86" s="368">
        <f t="shared" si="57"/>
        <v>-91.191318414347961</v>
      </c>
      <c r="T86" s="368">
        <f t="shared" si="57"/>
        <v>-90.833457776109555</v>
      </c>
      <c r="U86" s="368">
        <f t="shared" si="57"/>
        <v>-90.481885575979206</v>
      </c>
      <c r="V86" s="368">
        <f t="shared" si="57"/>
        <v>-90.137405726646108</v>
      </c>
    </row>
    <row r="87" spans="1:22" outlineLevel="1" x14ac:dyDescent="0.35">
      <c r="A87" s="14"/>
      <c r="B87" s="14"/>
      <c r="C87" s="14"/>
      <c r="D87" s="14"/>
      <c r="E87" s="14"/>
      <c r="F87" s="133"/>
      <c r="G87" s="14"/>
      <c r="H87" s="134"/>
      <c r="I87" s="134"/>
      <c r="J87" s="134"/>
      <c r="K87" s="134"/>
      <c r="L87" s="134"/>
      <c r="M87" s="404"/>
      <c r="N87" s="404"/>
      <c r="O87" s="404"/>
      <c r="P87" s="404"/>
      <c r="Q87" s="404"/>
      <c r="R87" s="378"/>
      <c r="S87" s="378"/>
      <c r="T87" s="378"/>
      <c r="U87" s="378"/>
      <c r="V87" s="378"/>
    </row>
    <row r="88" spans="1:22" outlineLevel="1" x14ac:dyDescent="0.35">
      <c r="A88" s="14"/>
      <c r="B88" s="14"/>
      <c r="C88" s="18" t="s">
        <v>219</v>
      </c>
      <c r="D88" s="14"/>
      <c r="E88" s="14"/>
      <c r="F88" s="133"/>
      <c r="G88" s="14"/>
      <c r="H88" s="352"/>
      <c r="I88" s="134"/>
      <c r="J88" s="134"/>
      <c r="K88" s="134"/>
      <c r="L88" s="134"/>
      <c r="M88" s="404"/>
      <c r="N88" s="404"/>
      <c r="O88" s="404"/>
      <c r="P88" s="404"/>
      <c r="Q88" s="404"/>
      <c r="R88" s="378"/>
      <c r="S88" s="378"/>
      <c r="T88" s="378"/>
      <c r="U88" s="378"/>
      <c r="V88" s="378"/>
    </row>
    <row r="89" spans="1:22" outlineLevel="1" x14ac:dyDescent="0.35">
      <c r="A89" s="14"/>
      <c r="B89" s="14"/>
      <c r="C89" s="14"/>
      <c r="D89" s="14" t="s">
        <v>220</v>
      </c>
      <c r="E89" s="14"/>
      <c r="F89" s="133" t="s">
        <v>170</v>
      </c>
      <c r="G89" s="14"/>
      <c r="H89" s="352">
        <f>'Historical '!J128+'Historical '!J129</f>
        <v>69.600000000000009</v>
      </c>
      <c r="I89" s="352">
        <f>'Historical '!K128+'Historical '!K129</f>
        <v>-4.1599999999999966</v>
      </c>
      <c r="J89" s="352">
        <f>'Historical '!L128+'Historical '!L129</f>
        <v>136.09000000000003</v>
      </c>
      <c r="K89" s="352">
        <f>'Historical '!M128+'Historical '!M129</f>
        <v>31.330000000000005</v>
      </c>
      <c r="L89" s="352">
        <f>'Historical '!N128+'Historical '!N129</f>
        <v>172.51</v>
      </c>
      <c r="M89" s="406"/>
      <c r="N89" s="406"/>
      <c r="O89" s="406"/>
      <c r="P89" s="406"/>
      <c r="Q89" s="406"/>
      <c r="R89" s="406"/>
      <c r="S89" s="406"/>
      <c r="T89" s="406"/>
      <c r="U89" s="406"/>
      <c r="V89" s="406"/>
    </row>
    <row r="90" spans="1:22" outlineLevel="1" x14ac:dyDescent="0.35">
      <c r="A90" s="14"/>
      <c r="B90" s="14"/>
      <c r="C90" s="14"/>
      <c r="D90" s="14" t="s">
        <v>390</v>
      </c>
      <c r="E90" s="14"/>
      <c r="F90" s="133"/>
      <c r="G90" s="14"/>
      <c r="H90" s="352">
        <f>'Historical '!J126-'Historical '!J127</f>
        <v>0</v>
      </c>
      <c r="I90" s="352">
        <f>'Historical '!K126-(-'Historical '!K127)</f>
        <v>217.69</v>
      </c>
      <c r="J90" s="352">
        <f>'Historical '!L126-'Historical '!L127</f>
        <v>0</v>
      </c>
      <c r="K90" s="352">
        <f>'Historical '!M126-'Historical '!M127</f>
        <v>246.65</v>
      </c>
      <c r="L90" s="352">
        <f>'Historical '!N126-'Historical '!N127</f>
        <v>0</v>
      </c>
      <c r="M90" s="406"/>
      <c r="N90" s="406"/>
      <c r="O90" s="406"/>
      <c r="P90" s="406"/>
      <c r="Q90" s="406"/>
      <c r="R90" s="406"/>
      <c r="S90" s="406"/>
      <c r="T90" s="406"/>
      <c r="U90" s="406"/>
      <c r="V90" s="406"/>
    </row>
    <row r="91" spans="1:22" outlineLevel="1" x14ac:dyDescent="0.35">
      <c r="A91" s="14"/>
      <c r="B91" s="14"/>
      <c r="C91" s="14"/>
      <c r="D91" s="14" t="s">
        <v>221</v>
      </c>
      <c r="E91" s="14"/>
      <c r="F91" s="133" t="s">
        <v>170</v>
      </c>
      <c r="G91" s="14"/>
      <c r="H91" s="352">
        <f>'Historical '!J132</f>
        <v>-4.67</v>
      </c>
      <c r="I91" s="352">
        <f>'Historical '!K132</f>
        <v>-5.25</v>
      </c>
      <c r="J91" s="352">
        <f>'Historical '!L132</f>
        <v>-6.86</v>
      </c>
      <c r="K91" s="352">
        <f>'Historical '!M132</f>
        <v>-7.48</v>
      </c>
      <c r="L91" s="352">
        <f>'Historical '!N132</f>
        <v>-5.28</v>
      </c>
      <c r="M91" s="405">
        <f>-M37*M16</f>
        <v>-6.2707433637877497</v>
      </c>
      <c r="N91" s="405">
        <f t="shared" ref="N91:V91" si="58">-N37*N16</f>
        <v>-6.9863595650247312</v>
      </c>
      <c r="O91" s="405">
        <f t="shared" si="58"/>
        <v>-7.7173259594276349</v>
      </c>
      <c r="P91" s="405">
        <f t="shared" si="58"/>
        <v>-8.0231293430461523</v>
      </c>
      <c r="Q91" s="405">
        <f t="shared" si="58"/>
        <v>-8.7528041130771239</v>
      </c>
      <c r="R91" s="405">
        <f t="shared" si="58"/>
        <v>-9.4875585266217897</v>
      </c>
      <c r="S91" s="405">
        <f t="shared" si="58"/>
        <v>-9.6876747335388238</v>
      </c>
      <c r="T91" s="405">
        <f t="shared" si="58"/>
        <v>-10.416178655833209</v>
      </c>
      <c r="U91" s="405">
        <f t="shared" si="58"/>
        <v>-11.141037411905838</v>
      </c>
      <c r="V91" s="405">
        <f t="shared" si="58"/>
        <v>-11.244487289499688</v>
      </c>
    </row>
    <row r="92" spans="1:22" outlineLevel="1" x14ac:dyDescent="0.35">
      <c r="A92" s="14"/>
      <c r="B92" s="14"/>
      <c r="C92" s="14"/>
      <c r="D92" s="14" t="s">
        <v>222</v>
      </c>
      <c r="E92" s="14"/>
      <c r="F92" s="133" t="s">
        <v>170</v>
      </c>
      <c r="G92" s="14"/>
      <c r="H92" s="352">
        <f>'Historical '!J130</f>
        <v>-13.77</v>
      </c>
      <c r="I92" s="352">
        <f>'Historical '!K130</f>
        <v>-19.079999999999998</v>
      </c>
      <c r="J92" s="352">
        <f>'Historical '!L130</f>
        <v>-28.94</v>
      </c>
      <c r="K92" s="352">
        <f>'Historical '!M130</f>
        <v>-42.06</v>
      </c>
      <c r="L92" s="352">
        <f>'Historical '!N130</f>
        <v>-47.84</v>
      </c>
      <c r="M92" s="405">
        <f>M121</f>
        <v>-67.958685613002444</v>
      </c>
      <c r="N92" s="405">
        <f t="shared" ref="N92:V92" si="59">N121</f>
        <v>-67.958685613002444</v>
      </c>
      <c r="O92" s="405">
        <f t="shared" si="59"/>
        <v>-67.958685613002444</v>
      </c>
      <c r="P92" s="405">
        <f t="shared" si="59"/>
        <v>-67.958685613002444</v>
      </c>
      <c r="Q92" s="405">
        <f t="shared" si="59"/>
        <v>-67.958685613002444</v>
      </c>
      <c r="R92" s="405">
        <f t="shared" si="59"/>
        <v>-67.958685613002444</v>
      </c>
      <c r="S92" s="405">
        <f t="shared" si="59"/>
        <v>-67.958685613002444</v>
      </c>
      <c r="T92" s="405">
        <f t="shared" si="59"/>
        <v>-67.958685613002444</v>
      </c>
      <c r="U92" s="405">
        <f t="shared" si="59"/>
        <v>-67.958685613002444</v>
      </c>
      <c r="V92" s="405">
        <f t="shared" si="59"/>
        <v>-67.958685613002444</v>
      </c>
    </row>
    <row r="93" spans="1:22" outlineLevel="1" x14ac:dyDescent="0.35">
      <c r="A93" s="14"/>
      <c r="B93" s="14"/>
      <c r="C93" s="14"/>
      <c r="D93" s="14" t="s">
        <v>395</v>
      </c>
      <c r="F93" s="133" t="s">
        <v>170</v>
      </c>
      <c r="H93" s="352">
        <f>'Historical '!J131</f>
        <v>-0.43</v>
      </c>
      <c r="I93" s="352">
        <f>'Historical '!K131</f>
        <v>-0.77</v>
      </c>
      <c r="J93" s="352">
        <f>'Historical '!L131</f>
        <v>0</v>
      </c>
      <c r="K93" s="352">
        <f>'Historical '!M131</f>
        <v>8.09</v>
      </c>
      <c r="L93" s="352">
        <f>'Historical '!N131</f>
        <v>-6.32</v>
      </c>
      <c r="M93" s="405"/>
      <c r="N93" s="405"/>
      <c r="O93" s="405"/>
      <c r="P93" s="405"/>
      <c r="Q93" s="405"/>
      <c r="R93" s="405"/>
      <c r="S93" s="405"/>
      <c r="T93" s="405"/>
      <c r="U93" s="405"/>
      <c r="V93" s="405"/>
    </row>
    <row r="94" spans="1:22" outlineLevel="1" x14ac:dyDescent="0.35">
      <c r="A94" s="14"/>
      <c r="B94" s="14"/>
      <c r="C94" s="14"/>
      <c r="D94" s="74" t="s">
        <v>223</v>
      </c>
      <c r="E94" s="75"/>
      <c r="F94" s="136" t="s">
        <v>168</v>
      </c>
      <c r="G94" s="75"/>
      <c r="H94" s="368">
        <f>SUM(H89:H93)</f>
        <v>50.730000000000011</v>
      </c>
      <c r="I94" s="368">
        <f>SUM(I89:I93)</f>
        <v>188.42999999999998</v>
      </c>
      <c r="J94" s="368">
        <f>SUM(J89:J93)</f>
        <v>100.29000000000002</v>
      </c>
      <c r="K94" s="368">
        <f>SUM(K89:K93)</f>
        <v>236.53</v>
      </c>
      <c r="L94" s="368">
        <f>SUM(L89:L93)</f>
        <v>113.07</v>
      </c>
      <c r="M94" s="368">
        <f t="shared" ref="M94:V94" si="60">SUM(M89:M93)</f>
        <v>-74.229428976790189</v>
      </c>
      <c r="N94" s="368">
        <f t="shared" si="60"/>
        <v>-74.945045178027172</v>
      </c>
      <c r="O94" s="368">
        <f t="shared" si="60"/>
        <v>-75.676011572430085</v>
      </c>
      <c r="P94" s="368">
        <f t="shared" si="60"/>
        <v>-75.981814956048595</v>
      </c>
      <c r="Q94" s="368">
        <f t="shared" si="60"/>
        <v>-76.711489726079563</v>
      </c>
      <c r="R94" s="368">
        <f t="shared" si="60"/>
        <v>-77.446244139624241</v>
      </c>
      <c r="S94" s="368">
        <f t="shared" si="60"/>
        <v>-77.646360346541272</v>
      </c>
      <c r="T94" s="368">
        <f t="shared" si="60"/>
        <v>-78.374864268835651</v>
      </c>
      <c r="U94" s="368">
        <f t="shared" si="60"/>
        <v>-79.099723024908286</v>
      </c>
      <c r="V94" s="368">
        <f t="shared" si="60"/>
        <v>-79.203172902502132</v>
      </c>
    </row>
    <row r="95" spans="1:22" outlineLevel="1" x14ac:dyDescent="0.35">
      <c r="A95" s="14"/>
      <c r="B95" s="14"/>
      <c r="C95" s="14"/>
      <c r="D95" s="14"/>
      <c r="E95" s="14"/>
      <c r="F95" s="133"/>
      <c r="G95" s="14"/>
      <c r="H95" s="369"/>
      <c r="I95" s="134"/>
      <c r="J95" s="134"/>
      <c r="K95" s="134"/>
      <c r="L95" s="134"/>
      <c r="M95" s="404"/>
      <c r="N95" s="404"/>
      <c r="O95" s="404"/>
      <c r="P95" s="404"/>
      <c r="Q95" s="404"/>
      <c r="R95" s="378"/>
      <c r="S95" s="378"/>
      <c r="T95" s="378"/>
      <c r="U95" s="378"/>
      <c r="V95" s="378"/>
    </row>
    <row r="96" spans="1:22" outlineLevel="1" x14ac:dyDescent="0.35">
      <c r="A96" s="14"/>
      <c r="B96" s="14"/>
      <c r="C96" s="14"/>
      <c r="D96" s="14" t="s">
        <v>224</v>
      </c>
      <c r="E96" s="14"/>
      <c r="F96" s="133" t="s">
        <v>170</v>
      </c>
      <c r="G96" s="14"/>
      <c r="H96" s="355">
        <f t="shared" ref="H96:L96" si="61">+H94+H86+H78</f>
        <v>-0.26999999999998181</v>
      </c>
      <c r="I96" s="355">
        <f t="shared" si="61"/>
        <v>44.010000000000005</v>
      </c>
      <c r="J96" s="355">
        <f t="shared" si="61"/>
        <v>-24.519999999999968</v>
      </c>
      <c r="K96" s="355">
        <f t="shared" si="61"/>
        <v>-8.2099999999999795</v>
      </c>
      <c r="L96" s="355">
        <f t="shared" si="61"/>
        <v>-7.5400000000000205</v>
      </c>
      <c r="M96" s="405">
        <f>SUM(M78,M86,M94)</f>
        <v>-182.20596094922016</v>
      </c>
      <c r="N96" s="405">
        <f t="shared" ref="N96:V96" si="62">SUM(N78,N86,N94)</f>
        <v>-60.061257854368833</v>
      </c>
      <c r="O96" s="405">
        <f t="shared" si="62"/>
        <v>-53.084149063551521</v>
      </c>
      <c r="P96" s="405">
        <f t="shared" si="62"/>
        <v>-44.591022090702097</v>
      </c>
      <c r="Q96" s="405">
        <f t="shared" si="62"/>
        <v>-37.516751439468393</v>
      </c>
      <c r="R96" s="405">
        <f t="shared" si="62"/>
        <v>-30.464817531958516</v>
      </c>
      <c r="S96" s="405">
        <f t="shared" si="62"/>
        <v>-21.616640290187675</v>
      </c>
      <c r="T96" s="405">
        <f t="shared" si="62"/>
        <v>-14.670600698402879</v>
      </c>
      <c r="U96" s="405">
        <f t="shared" si="62"/>
        <v>-7.8130272403219436</v>
      </c>
      <c r="V96" s="405">
        <f t="shared" si="62"/>
        <v>1.0616930924327335</v>
      </c>
    </row>
    <row r="97" spans="1:22" outlineLevel="1" x14ac:dyDescent="0.35">
      <c r="A97" s="14"/>
      <c r="B97" s="14"/>
      <c r="C97" s="14"/>
      <c r="D97" s="127" t="s">
        <v>225</v>
      </c>
      <c r="E97" s="127"/>
      <c r="F97" s="138" t="s">
        <v>170</v>
      </c>
      <c r="G97" s="127"/>
      <c r="H97" s="352">
        <f>'Historical '!J138</f>
        <v>1.21</v>
      </c>
      <c r="I97" s="352">
        <f>'Historical '!K138</f>
        <v>1.21</v>
      </c>
      <c r="J97" s="352">
        <f>'Historical '!L138</f>
        <v>45.22</v>
      </c>
      <c r="K97" s="352">
        <f>'Historical '!M138</f>
        <v>20.700000000000003</v>
      </c>
      <c r="L97" s="352">
        <f>'Historical '!N138</f>
        <v>12.5</v>
      </c>
      <c r="M97" s="405">
        <f>L98</f>
        <v>4.9600000000000009</v>
      </c>
      <c r="N97" s="405">
        <f t="shared" ref="N97:V97" si="63">M98</f>
        <v>-177.24596094922015</v>
      </c>
      <c r="O97" s="405">
        <f t="shared" si="63"/>
        <v>-237.30721880358897</v>
      </c>
      <c r="P97" s="405">
        <f t="shared" si="63"/>
        <v>-290.3913678671405</v>
      </c>
      <c r="Q97" s="405">
        <f t="shared" si="63"/>
        <v>-334.9823899578426</v>
      </c>
      <c r="R97" s="405">
        <f t="shared" si="63"/>
        <v>-372.49914139731101</v>
      </c>
      <c r="S97" s="405">
        <f t="shared" si="63"/>
        <v>-402.96395892926955</v>
      </c>
      <c r="T97" s="405">
        <f t="shared" si="63"/>
        <v>-424.58059921945721</v>
      </c>
      <c r="U97" s="405">
        <f t="shared" si="63"/>
        <v>-439.25119991786011</v>
      </c>
      <c r="V97" s="405">
        <f t="shared" si="63"/>
        <v>-447.06422715818206</v>
      </c>
    </row>
    <row r="98" spans="1:22" outlineLevel="1" x14ac:dyDescent="0.35">
      <c r="A98" s="14"/>
      <c r="B98" s="14"/>
      <c r="C98" s="14"/>
      <c r="D98" s="18" t="s">
        <v>226</v>
      </c>
      <c r="E98" s="18"/>
      <c r="F98" s="132" t="s">
        <v>168</v>
      </c>
      <c r="G98" s="18"/>
      <c r="H98" s="368">
        <f>'Historical '!J141</f>
        <v>1.21</v>
      </c>
      <c r="I98" s="368">
        <f>'Historical '!K141</f>
        <v>45.22</v>
      </c>
      <c r="J98" s="368">
        <f>'Historical '!L141</f>
        <v>20.700000000000003</v>
      </c>
      <c r="K98" s="368">
        <f>'Historical '!M141</f>
        <v>12.5</v>
      </c>
      <c r="L98" s="368">
        <f>'Historical '!N141</f>
        <v>4.9600000000000009</v>
      </c>
      <c r="M98" s="490">
        <f>SUM(M96:M97)</f>
        <v>-177.24596094922015</v>
      </c>
      <c r="N98" s="490">
        <f t="shared" ref="N98:V98" si="64">SUM(N96:N97)</f>
        <v>-237.30721880358897</v>
      </c>
      <c r="O98" s="490">
        <f t="shared" si="64"/>
        <v>-290.3913678671405</v>
      </c>
      <c r="P98" s="490">
        <f t="shared" si="64"/>
        <v>-334.9823899578426</v>
      </c>
      <c r="Q98" s="358">
        <f t="shared" si="64"/>
        <v>-372.49914139731101</v>
      </c>
      <c r="R98" s="358">
        <f t="shared" si="64"/>
        <v>-402.96395892926955</v>
      </c>
      <c r="S98" s="358">
        <f t="shared" si="64"/>
        <v>-424.58059921945721</v>
      </c>
      <c r="T98" s="358">
        <f t="shared" si="64"/>
        <v>-439.25119991786011</v>
      </c>
      <c r="U98" s="358">
        <f t="shared" si="64"/>
        <v>-447.06422715818206</v>
      </c>
      <c r="V98" s="358">
        <f t="shared" si="64"/>
        <v>-446.00253406574933</v>
      </c>
    </row>
    <row r="99" spans="1:22" outlineLevel="1" x14ac:dyDescent="0.35">
      <c r="A99" s="14"/>
      <c r="B99" s="14"/>
      <c r="C99" s="14"/>
      <c r="D99" s="18"/>
      <c r="E99" s="18"/>
      <c r="F99" s="133"/>
      <c r="G99" s="18"/>
      <c r="H99" s="146"/>
      <c r="I99" s="146"/>
      <c r="J99" s="146"/>
      <c r="K99" s="146"/>
      <c r="L99" s="146"/>
      <c r="M99" s="373"/>
      <c r="N99" s="373"/>
      <c r="O99" s="14"/>
      <c r="P99" s="14"/>
      <c r="Q99" s="14"/>
    </row>
    <row r="100" spans="1:22" x14ac:dyDescent="0.35">
      <c r="A100" s="14"/>
      <c r="B100" s="14"/>
      <c r="C100" s="14"/>
      <c r="D100" s="14"/>
      <c r="E100" s="14"/>
      <c r="F100" s="14"/>
      <c r="G100" s="14"/>
      <c r="H100" s="14"/>
      <c r="I100" s="14"/>
      <c r="J100" s="14"/>
      <c r="K100" s="14"/>
      <c r="L100" s="14"/>
      <c r="M100" s="14"/>
      <c r="N100" s="14"/>
      <c r="O100" s="14"/>
      <c r="P100" s="14"/>
      <c r="Q100" s="14"/>
    </row>
    <row r="101" spans="1:22" ht="20.5" x14ac:dyDescent="0.45">
      <c r="A101" s="169" t="s">
        <v>227</v>
      </c>
      <c r="B101" s="170"/>
      <c r="C101" s="170"/>
      <c r="D101" s="170"/>
      <c r="E101" s="170"/>
      <c r="F101" s="170"/>
      <c r="G101" s="170"/>
      <c r="H101" s="170"/>
      <c r="I101" s="170"/>
      <c r="J101" s="170"/>
      <c r="K101" s="170"/>
      <c r="L101" s="170"/>
      <c r="M101" s="170"/>
      <c r="N101" s="170"/>
      <c r="O101" s="170"/>
      <c r="P101" s="170"/>
      <c r="Q101" s="170"/>
      <c r="R101" s="170"/>
      <c r="S101" s="170"/>
      <c r="T101" s="170"/>
      <c r="U101" s="170"/>
      <c r="V101" s="170"/>
    </row>
    <row r="102" spans="1:22" outlineLevel="1" x14ac:dyDescent="0.35">
      <c r="A102" s="14"/>
      <c r="B102" s="14"/>
      <c r="C102" s="14"/>
      <c r="D102" s="14"/>
      <c r="E102" s="14"/>
      <c r="F102" s="14"/>
      <c r="G102" s="14"/>
      <c r="H102" s="14"/>
      <c r="I102" s="14"/>
      <c r="J102" s="14"/>
      <c r="K102" s="14"/>
      <c r="L102" s="14"/>
      <c r="M102" s="404"/>
      <c r="N102" s="404"/>
      <c r="O102" s="404"/>
      <c r="P102" s="404"/>
      <c r="Q102" s="404"/>
      <c r="R102" s="378"/>
      <c r="S102" s="378"/>
      <c r="T102" s="378"/>
      <c r="U102" s="378"/>
      <c r="V102" s="378"/>
    </row>
    <row r="103" spans="1:22" outlineLevel="1" x14ac:dyDescent="0.35">
      <c r="A103" s="14"/>
      <c r="B103" s="14"/>
      <c r="C103" s="18" t="s">
        <v>228</v>
      </c>
      <c r="D103" s="14"/>
      <c r="E103" s="14"/>
      <c r="F103" s="14"/>
      <c r="G103" s="14"/>
      <c r="H103" s="14"/>
      <c r="I103" s="14"/>
      <c r="J103" s="14"/>
      <c r="K103" s="14"/>
      <c r="L103" s="14"/>
      <c r="M103" s="404"/>
      <c r="N103" s="404"/>
      <c r="O103" s="404"/>
      <c r="P103" s="404"/>
      <c r="Q103" s="404"/>
      <c r="R103" s="378"/>
      <c r="S103" s="378"/>
      <c r="T103" s="378"/>
      <c r="U103" s="378"/>
      <c r="V103" s="378"/>
    </row>
    <row r="104" spans="1:22" outlineLevel="1" x14ac:dyDescent="0.35">
      <c r="A104" s="14"/>
      <c r="B104" s="14"/>
      <c r="C104" s="14"/>
      <c r="D104" s="14" t="s">
        <v>187</v>
      </c>
      <c r="E104" s="14"/>
      <c r="F104" s="133" t="s">
        <v>170</v>
      </c>
      <c r="G104" s="14"/>
      <c r="H104" s="352">
        <f>'Historical '!J97</f>
        <v>-3.37</v>
      </c>
      <c r="I104" s="352">
        <f>'Historical '!K97</f>
        <v>-31.16</v>
      </c>
      <c r="J104" s="352">
        <f>'Historical '!L97</f>
        <v>-66.98</v>
      </c>
      <c r="K104" s="352">
        <f>'Historical '!M97</f>
        <v>-104.28</v>
      </c>
      <c r="L104" s="352">
        <f>'Historical '!N97</f>
        <v>78.66</v>
      </c>
      <c r="M104" s="405">
        <f>L44-M44</f>
        <v>-29.754666653841724</v>
      </c>
      <c r="N104" s="405">
        <f t="shared" ref="N104:V104" si="65">M44-N44</f>
        <v>-15.13233306582282</v>
      </c>
      <c r="O104" s="405">
        <f t="shared" si="65"/>
        <v>-15.160358146660712</v>
      </c>
      <c r="P104" s="405">
        <f t="shared" si="65"/>
        <v>-15.132173221623077</v>
      </c>
      <c r="Q104" s="405">
        <f t="shared" si="65"/>
        <v>-15.051252823698235</v>
      </c>
      <c r="R104" s="405">
        <f t="shared" si="65"/>
        <v>-14.921409903539313</v>
      </c>
      <c r="S104" s="405">
        <f t="shared" si="65"/>
        <v>-14.746693394151123</v>
      </c>
      <c r="T104" s="405">
        <f t="shared" si="65"/>
        <v>-14.531294808319501</v>
      </c>
      <c r="U104" s="405">
        <f t="shared" si="65"/>
        <v>-14.279464936455781</v>
      </c>
      <c r="V104" s="405">
        <f t="shared" si="65"/>
        <v>-13.995441183372066</v>
      </c>
    </row>
    <row r="105" spans="1:22" outlineLevel="1" x14ac:dyDescent="0.35">
      <c r="A105" s="14"/>
      <c r="B105" s="14"/>
      <c r="C105" s="14"/>
      <c r="D105" s="14" t="s">
        <v>163</v>
      </c>
      <c r="E105" s="14"/>
      <c r="F105" s="133" t="s">
        <v>170</v>
      </c>
      <c r="G105" s="14"/>
      <c r="H105" s="372">
        <f>'Historical '!J96</f>
        <v>15.84</v>
      </c>
      <c r="I105" s="372">
        <f>'Historical '!K96</f>
        <v>-80.56</v>
      </c>
      <c r="J105" s="372">
        <f>'Historical '!L96</f>
        <v>-98.38</v>
      </c>
      <c r="K105" s="372">
        <f>'Historical '!M96</f>
        <v>-89.47</v>
      </c>
      <c r="L105" s="372">
        <f>'Historical '!N96</f>
        <v>-120.17</v>
      </c>
      <c r="M105" s="405">
        <f t="shared" ref="M105:V105" si="66">+L45-M45</f>
        <v>-44.096872444160056</v>
      </c>
      <c r="N105" s="405">
        <f t="shared" si="66"/>
        <v>-23.242328206825789</v>
      </c>
      <c r="O105" s="405">
        <f t="shared" si="66"/>
        <v>-23.285372998664741</v>
      </c>
      <c r="P105" s="405">
        <f t="shared" si="66"/>
        <v>-23.24208269601553</v>
      </c>
      <c r="Q105" s="405">
        <f t="shared" si="66"/>
        <v>-23.117793966774968</v>
      </c>
      <c r="R105" s="405">
        <f t="shared" si="66"/>
        <v>-22.918363267454538</v>
      </c>
      <c r="S105" s="405">
        <f t="shared" si="66"/>
        <v>-22.650009508870994</v>
      </c>
      <c r="T105" s="405">
        <f t="shared" si="66"/>
        <v>-22.319170595571393</v>
      </c>
      <c r="U105" s="405">
        <f t="shared" si="66"/>
        <v>-21.932375478871336</v>
      </c>
      <c r="V105" s="405">
        <f t="shared" si="66"/>
        <v>-21.496132550633433</v>
      </c>
    </row>
    <row r="106" spans="1:22" outlineLevel="1" x14ac:dyDescent="0.35">
      <c r="A106" s="14"/>
      <c r="B106" s="14"/>
      <c r="C106" s="14"/>
      <c r="D106" s="14" t="s">
        <v>164</v>
      </c>
      <c r="E106" s="14"/>
      <c r="F106" s="133" t="s">
        <v>170</v>
      </c>
      <c r="G106" s="14"/>
      <c r="H106" s="352">
        <f>'Historical '!J103</f>
        <v>36.89</v>
      </c>
      <c r="I106" s="352">
        <f>'Historical '!K103</f>
        <v>39.86</v>
      </c>
      <c r="J106" s="352">
        <f>'Historical '!L103</f>
        <v>53.2</v>
      </c>
      <c r="K106" s="352">
        <f>'Historical '!M103</f>
        <v>-10.89</v>
      </c>
      <c r="L106" s="352">
        <f>'Historical '!N103</f>
        <v>113.24</v>
      </c>
      <c r="M106" s="405">
        <f>+M56-L56</f>
        <v>-66.671009098831519</v>
      </c>
      <c r="N106" s="405">
        <f t="shared" ref="N106:V106" si="67">+N56-M56</f>
        <v>12.930949601296902</v>
      </c>
      <c r="O106" s="405">
        <f t="shared" si="67"/>
        <v>12.954897719958495</v>
      </c>
      <c r="P106" s="405">
        <f t="shared" si="67"/>
        <v>12.930813010509382</v>
      </c>
      <c r="Q106" s="405">
        <f t="shared" si="67"/>
        <v>12.861664546572484</v>
      </c>
      <c r="R106" s="405">
        <f t="shared" si="67"/>
        <v>12.750710587962317</v>
      </c>
      <c r="S106" s="405">
        <f t="shared" si="67"/>
        <v>12.60141104719844</v>
      </c>
      <c r="T106" s="405">
        <f t="shared" si="67"/>
        <v>12.41734767471894</v>
      </c>
      <c r="U106" s="405">
        <f t="shared" si="67"/>
        <v>12.202152875145998</v>
      </c>
      <c r="V106" s="405">
        <f t="shared" si="67"/>
        <v>11.959447614779208</v>
      </c>
    </row>
    <row r="107" spans="1:22" outlineLevel="1" x14ac:dyDescent="0.35">
      <c r="A107" s="14"/>
      <c r="B107" s="14"/>
      <c r="C107" s="14"/>
      <c r="D107" s="14" t="s">
        <v>229</v>
      </c>
      <c r="E107" s="14"/>
      <c r="F107" s="133" t="s">
        <v>170</v>
      </c>
      <c r="G107" s="14"/>
      <c r="H107" s="352">
        <f>SUM('Historical '!J98,'Historical '!J99,'Historical '!J100,'Historical '!J101,'Historical '!J102,'Historical '!J104,'Historical '!J105,'Historical '!J106,'Historical '!J107,)</f>
        <v>-12.770000000000001</v>
      </c>
      <c r="I107" s="352">
        <f>SUM('Historical '!K98,'Historical '!K99,'Historical '!K100,'Historical '!K101,'Historical '!K102,'Historical '!K104,'Historical '!K105,'Historical '!K106,'Historical '!K107,)</f>
        <v>1.7800000000000011</v>
      </c>
      <c r="J107" s="352">
        <f>SUM('Historical '!L98,'Historical '!L99,'Historical '!L100,'Historical '!L101,'Historical '!L102,'Historical '!L104,'Historical '!L105,'Historical '!L106,'Historical '!L107,)</f>
        <v>-23.740000000000002</v>
      </c>
      <c r="K107" s="352">
        <f>SUM('Historical '!M98,'Historical '!M99,'Historical '!M100,'Historical '!M101,'Historical '!M102,'Historical '!M104,'Historical '!M105,'Historical '!M106,'Historical '!M107,)</f>
        <v>75.88</v>
      </c>
      <c r="L107" s="352">
        <f>SUM('Historical '!N98,'Historical '!N99,'Historical '!N100,'Historical '!N101,'Historical '!N102,'Historical '!N104,'Historical '!N105,'Historical '!N106,'Historical '!N107,)</f>
        <v>-6.99</v>
      </c>
      <c r="M107" s="405">
        <f>M57-L57</f>
        <v>0</v>
      </c>
      <c r="N107" s="412" t="s">
        <v>45</v>
      </c>
      <c r="O107" s="412" t="s">
        <v>45</v>
      </c>
      <c r="P107" s="412" t="s">
        <v>45</v>
      </c>
      <c r="Q107" s="412" t="s">
        <v>45</v>
      </c>
      <c r="R107" s="412" t="s">
        <v>45</v>
      </c>
      <c r="S107" s="412" t="s">
        <v>45</v>
      </c>
      <c r="T107" s="412" t="s">
        <v>45</v>
      </c>
      <c r="U107" s="412" t="s">
        <v>45</v>
      </c>
      <c r="V107" s="412" t="s">
        <v>45</v>
      </c>
    </row>
    <row r="108" spans="1:22" outlineLevel="1" x14ac:dyDescent="0.35">
      <c r="A108" s="14"/>
      <c r="B108" s="14"/>
      <c r="C108" s="14"/>
      <c r="D108" s="74" t="s">
        <v>230</v>
      </c>
      <c r="E108" s="75"/>
      <c r="F108" s="136" t="s">
        <v>168</v>
      </c>
      <c r="G108" s="75"/>
      <c r="H108" s="368">
        <f>SUM(H104:H107)</f>
        <v>36.589999999999996</v>
      </c>
      <c r="I108" s="368">
        <f>SUM(I104:I107)</f>
        <v>-70.08</v>
      </c>
      <c r="J108" s="368">
        <f>SUM(J104:J107)</f>
        <v>-135.9</v>
      </c>
      <c r="K108" s="368">
        <f>SUM(K104:K107)</f>
        <v>-128.76</v>
      </c>
      <c r="L108" s="368">
        <f>SUM(L104:L107)</f>
        <v>64.739999999999995</v>
      </c>
      <c r="M108" s="368">
        <f t="shared" ref="M108:V108" si="68">SUM(M104:M107)</f>
        <v>-140.5225481968333</v>
      </c>
      <c r="N108" s="368">
        <f t="shared" si="68"/>
        <v>-25.443711671351707</v>
      </c>
      <c r="O108" s="368">
        <f t="shared" si="68"/>
        <v>-25.490833425366958</v>
      </c>
      <c r="P108" s="368">
        <f t="shared" si="68"/>
        <v>-25.443442907129224</v>
      </c>
      <c r="Q108" s="368">
        <f t="shared" si="68"/>
        <v>-25.307382243900719</v>
      </c>
      <c r="R108" s="368">
        <f t="shared" si="68"/>
        <v>-25.089062583031534</v>
      </c>
      <c r="S108" s="368">
        <f t="shared" si="68"/>
        <v>-24.795291855823677</v>
      </c>
      <c r="T108" s="368">
        <f t="shared" si="68"/>
        <v>-24.433117729171954</v>
      </c>
      <c r="U108" s="368">
        <f t="shared" si="68"/>
        <v>-24.009687540181119</v>
      </c>
      <c r="V108" s="368">
        <f t="shared" si="68"/>
        <v>-23.532126119226291</v>
      </c>
    </row>
    <row r="109" spans="1:22" outlineLevel="1" x14ac:dyDescent="0.35">
      <c r="A109" s="14"/>
      <c r="B109" s="14"/>
      <c r="C109" s="14"/>
      <c r="D109" s="14"/>
      <c r="E109" s="14"/>
      <c r="F109" s="133"/>
      <c r="G109" s="14"/>
      <c r="H109" s="14"/>
      <c r="I109" s="14"/>
      <c r="J109" s="14"/>
      <c r="K109" s="14"/>
      <c r="L109" s="14"/>
      <c r="M109" s="404"/>
      <c r="N109" s="404"/>
      <c r="O109" s="404"/>
      <c r="P109" s="404"/>
      <c r="Q109" s="404"/>
      <c r="R109" s="378"/>
      <c r="S109" s="378"/>
      <c r="T109" s="378"/>
      <c r="U109" s="378"/>
      <c r="V109" s="378"/>
    </row>
    <row r="110" spans="1:22" outlineLevel="1" x14ac:dyDescent="0.35">
      <c r="A110" s="14"/>
      <c r="B110" s="14"/>
      <c r="C110" s="18" t="s">
        <v>231</v>
      </c>
      <c r="D110" s="14"/>
      <c r="E110" s="14"/>
      <c r="F110" s="133"/>
      <c r="G110" s="14"/>
      <c r="H110" s="357"/>
      <c r="I110" s="357"/>
      <c r="J110" s="357"/>
      <c r="K110" s="357"/>
      <c r="L110" s="357"/>
      <c r="M110" s="404"/>
      <c r="N110" s="404"/>
      <c r="O110" s="404"/>
      <c r="P110" s="404"/>
      <c r="Q110" s="404"/>
      <c r="R110" s="378"/>
      <c r="S110" s="378"/>
      <c r="T110" s="378"/>
      <c r="U110" s="378"/>
      <c r="V110" s="378"/>
    </row>
    <row r="111" spans="1:22" outlineLevel="1" x14ac:dyDescent="0.35">
      <c r="A111" s="14"/>
      <c r="B111" s="14"/>
      <c r="C111" s="14"/>
      <c r="D111" s="14" t="s">
        <v>232</v>
      </c>
      <c r="E111" s="14"/>
      <c r="F111" s="133" t="s">
        <v>170</v>
      </c>
      <c r="G111" s="14"/>
      <c r="H111" s="487">
        <v>0</v>
      </c>
      <c r="I111" s="373">
        <f>H114</f>
        <v>241.03</v>
      </c>
      <c r="J111" s="373">
        <f>I114</f>
        <v>295.58999999999997</v>
      </c>
      <c r="K111" s="373">
        <f>J114</f>
        <v>381.88</v>
      </c>
      <c r="L111" s="373">
        <f>K114</f>
        <v>603.38</v>
      </c>
      <c r="M111" s="405">
        <f>L114</f>
        <v>559.09999999999991</v>
      </c>
      <c r="N111" s="405">
        <f t="shared" ref="N111:V111" si="69">M114</f>
        <v>635.47726197335237</v>
      </c>
      <c r="O111" s="405">
        <f t="shared" si="69"/>
        <v>708.74791374384017</v>
      </c>
      <c r="P111" s="405">
        <f t="shared" si="69"/>
        <v>779.03851863350189</v>
      </c>
      <c r="Q111" s="405">
        <f t="shared" si="69"/>
        <v>842.5752911805572</v>
      </c>
      <c r="R111" s="405">
        <f t="shared" si="69"/>
        <v>903.21089129371728</v>
      </c>
      <c r="S111" s="405">
        <f t="shared" si="69"/>
        <v>961.0780186210028</v>
      </c>
      <c r="T111" s="405">
        <f t="shared" si="69"/>
        <v>1011.4979130344734</v>
      </c>
      <c r="U111" s="405">
        <f t="shared" si="69"/>
        <v>1059.3645016422795</v>
      </c>
      <c r="V111" s="405">
        <f t="shared" si="69"/>
        <v>1104.8073391993894</v>
      </c>
    </row>
    <row r="112" spans="1:22" outlineLevel="1" x14ac:dyDescent="0.35">
      <c r="A112" s="14"/>
      <c r="B112" s="14"/>
      <c r="C112" s="14"/>
      <c r="D112" s="14" t="s">
        <v>233</v>
      </c>
      <c r="E112" s="14"/>
      <c r="F112" s="133" t="s">
        <v>170</v>
      </c>
      <c r="G112" s="14"/>
      <c r="H112" s="487">
        <v>0</v>
      </c>
      <c r="I112" s="373">
        <f>I114-I111-I113</f>
        <v>66.249999999999972</v>
      </c>
      <c r="J112" s="373">
        <f t="shared" ref="J112:L112" si="70">J114-J111-J113</f>
        <v>102.49000000000002</v>
      </c>
      <c r="K112" s="373">
        <f>K114-K111-K113</f>
        <v>244.37</v>
      </c>
      <c r="L112" s="373">
        <f t="shared" si="70"/>
        <v>-16.490000000000087</v>
      </c>
      <c r="M112" s="373">
        <f>AVERAGE(I112:L112)</f>
        <v>99.154999999999987</v>
      </c>
      <c r="N112" s="373">
        <f>M112+0.5%</f>
        <v>99.159999999999982</v>
      </c>
      <c r="O112" s="373">
        <f t="shared" ref="O112:V112" si="71">N112+0.5%</f>
        <v>99.164999999999978</v>
      </c>
      <c r="P112" s="373">
        <f t="shared" si="71"/>
        <v>99.169999999999973</v>
      </c>
      <c r="Q112" s="373">
        <f t="shared" si="71"/>
        <v>99.174999999999969</v>
      </c>
      <c r="R112" s="373">
        <f t="shared" si="71"/>
        <v>99.179999999999964</v>
      </c>
      <c r="S112" s="373">
        <f t="shared" si="71"/>
        <v>99.18499999999996</v>
      </c>
      <c r="T112" s="373">
        <f t="shared" si="71"/>
        <v>99.189999999999955</v>
      </c>
      <c r="U112" s="373">
        <f t="shared" si="71"/>
        <v>99.194999999999951</v>
      </c>
      <c r="V112" s="373">
        <f t="shared" si="71"/>
        <v>99.199999999999946</v>
      </c>
    </row>
    <row r="113" spans="1:22" outlineLevel="1" x14ac:dyDescent="0.35">
      <c r="A113" s="14"/>
      <c r="B113" s="14"/>
      <c r="C113" s="14"/>
      <c r="D113" s="127" t="s">
        <v>234</v>
      </c>
      <c r="E113" s="127"/>
      <c r="F113" s="138" t="s">
        <v>170</v>
      </c>
      <c r="G113" s="127"/>
      <c r="H113" s="373">
        <f>H31</f>
        <v>-6.9</v>
      </c>
      <c r="I113" s="373">
        <f>I31</f>
        <v>-11.69</v>
      </c>
      <c r="J113" s="373">
        <f>J31</f>
        <v>-16.2</v>
      </c>
      <c r="K113" s="373">
        <f>K31</f>
        <v>-22.87</v>
      </c>
      <c r="L113" s="373">
        <f>L31</f>
        <v>-27.79</v>
      </c>
      <c r="M113" s="405">
        <f>-M111*M12</f>
        <v>-22.777738026647459</v>
      </c>
      <c r="N113" s="405">
        <f t="shared" ref="N113:V113" si="72">-N111*N12</f>
        <v>-25.889348229512144</v>
      </c>
      <c r="O113" s="405">
        <f t="shared" si="72"/>
        <v>-28.874395110338263</v>
      </c>
      <c r="P113" s="405">
        <f t="shared" si="72"/>
        <v>-35.633227452944688</v>
      </c>
      <c r="Q113" s="405">
        <f t="shared" si="72"/>
        <v>-38.539399886839888</v>
      </c>
      <c r="R113" s="405">
        <f t="shared" si="72"/>
        <v>-41.312872672714427</v>
      </c>
      <c r="S113" s="405">
        <f t="shared" si="72"/>
        <v>-48.765105586529486</v>
      </c>
      <c r="T113" s="405">
        <f t="shared" si="72"/>
        <v>-51.323411392193904</v>
      </c>
      <c r="U113" s="405">
        <f t="shared" si="72"/>
        <v>-53.752162442889947</v>
      </c>
      <c r="V113" s="405">
        <f t="shared" si="72"/>
        <v>-61.581969043814716</v>
      </c>
    </row>
    <row r="114" spans="1:22" outlineLevel="1" x14ac:dyDescent="0.35">
      <c r="A114" s="14"/>
      <c r="B114" s="14"/>
      <c r="C114" s="14"/>
      <c r="D114" s="18" t="s">
        <v>235</v>
      </c>
      <c r="E114" s="14"/>
      <c r="F114" s="132" t="s">
        <v>168</v>
      </c>
      <c r="G114" s="14"/>
      <c r="H114" s="353">
        <f>H48</f>
        <v>241.03</v>
      </c>
      <c r="I114" s="353">
        <f>I48</f>
        <v>295.58999999999997</v>
      </c>
      <c r="J114" s="353">
        <f>J48</f>
        <v>381.88</v>
      </c>
      <c r="K114" s="353">
        <f>K48</f>
        <v>603.38</v>
      </c>
      <c r="L114" s="353">
        <f>L48</f>
        <v>559.09999999999991</v>
      </c>
      <c r="M114" s="358">
        <f>SUM(M111:M113)</f>
        <v>635.47726197335237</v>
      </c>
      <c r="N114" s="358">
        <f t="shared" ref="N114:V114" si="73">SUM(N111:N113)</f>
        <v>708.74791374384017</v>
      </c>
      <c r="O114" s="358">
        <f t="shared" si="73"/>
        <v>779.03851863350189</v>
      </c>
      <c r="P114" s="358">
        <f t="shared" si="73"/>
        <v>842.5752911805572</v>
      </c>
      <c r="Q114" s="358">
        <f t="shared" si="73"/>
        <v>903.21089129371728</v>
      </c>
      <c r="R114" s="358">
        <f t="shared" si="73"/>
        <v>961.0780186210028</v>
      </c>
      <c r="S114" s="358">
        <f t="shared" si="73"/>
        <v>1011.4979130344734</v>
      </c>
      <c r="T114" s="358">
        <f t="shared" si="73"/>
        <v>1059.3645016422795</v>
      </c>
      <c r="U114" s="358">
        <f t="shared" si="73"/>
        <v>1104.8073391993894</v>
      </c>
      <c r="V114" s="358">
        <f t="shared" si="73"/>
        <v>1142.4253701555747</v>
      </c>
    </row>
    <row r="115" spans="1:22" outlineLevel="1" x14ac:dyDescent="0.35">
      <c r="A115" s="14"/>
      <c r="B115" s="14"/>
      <c r="C115" s="14"/>
      <c r="D115" s="14"/>
      <c r="E115" s="14"/>
      <c r="F115" s="133"/>
      <c r="G115" s="14"/>
      <c r="H115" s="14"/>
      <c r="I115" s="14"/>
      <c r="J115" s="14"/>
      <c r="K115" s="14"/>
      <c r="L115" s="14"/>
      <c r="M115" s="404"/>
      <c r="N115" s="404"/>
      <c r="O115" s="404"/>
      <c r="P115" s="404"/>
      <c r="Q115" s="404"/>
      <c r="R115" s="378"/>
      <c r="S115" s="378"/>
      <c r="T115" s="378"/>
      <c r="U115" s="378"/>
      <c r="V115" s="378"/>
    </row>
    <row r="116" spans="1:22" outlineLevel="1" x14ac:dyDescent="0.35">
      <c r="A116" s="14"/>
      <c r="B116" s="14"/>
      <c r="C116" s="14"/>
      <c r="D116" s="14"/>
      <c r="E116" s="14"/>
      <c r="F116" s="133"/>
      <c r="G116" s="14"/>
      <c r="H116" s="14"/>
      <c r="I116" s="14"/>
      <c r="J116" s="14"/>
      <c r="K116" s="14"/>
      <c r="L116" s="14"/>
      <c r="M116" s="404"/>
      <c r="N116" s="404"/>
      <c r="O116" s="404"/>
      <c r="P116" s="404"/>
      <c r="Q116" s="404"/>
      <c r="R116" s="378"/>
      <c r="S116" s="378"/>
      <c r="T116" s="378"/>
      <c r="U116" s="378"/>
      <c r="V116" s="378"/>
    </row>
    <row r="117" spans="1:22" outlineLevel="1" x14ac:dyDescent="0.35">
      <c r="A117" s="14"/>
      <c r="B117" s="14"/>
      <c r="C117" s="18" t="s">
        <v>236</v>
      </c>
      <c r="D117" s="14"/>
      <c r="E117" s="14"/>
      <c r="F117" s="133"/>
      <c r="G117" s="14"/>
      <c r="H117" s="352"/>
      <c r="I117" s="352"/>
      <c r="J117" s="352"/>
      <c r="K117" s="352"/>
      <c r="L117" s="352"/>
      <c r="M117" s="404"/>
      <c r="N117" s="404"/>
      <c r="O117" s="404"/>
      <c r="P117" s="404"/>
      <c r="Q117" s="404"/>
      <c r="R117" s="378"/>
      <c r="S117" s="378"/>
      <c r="T117" s="378"/>
      <c r="U117" s="378"/>
      <c r="V117" s="378"/>
    </row>
    <row r="118" spans="1:22" outlineLevel="1" x14ac:dyDescent="0.35">
      <c r="A118" s="14"/>
      <c r="B118" s="14"/>
      <c r="C118" s="14"/>
      <c r="D118" s="14" t="s">
        <v>237</v>
      </c>
      <c r="E118" s="14"/>
      <c r="F118" s="133" t="s">
        <v>170</v>
      </c>
      <c r="G118" s="14"/>
      <c r="H118" s="14"/>
      <c r="I118" s="373">
        <f>H120</f>
        <v>201.89</v>
      </c>
      <c r="J118" s="373">
        <f>I120</f>
        <v>197.72</v>
      </c>
      <c r="K118" s="373">
        <f>J120</f>
        <v>362.21000000000004</v>
      </c>
      <c r="L118" s="373">
        <f>K120</f>
        <v>393.53000000000003</v>
      </c>
      <c r="M118" s="405">
        <f>L120</f>
        <v>566.04</v>
      </c>
      <c r="N118" s="405">
        <f t="shared" ref="N118:V118" si="74">+M120</f>
        <v>566.04</v>
      </c>
      <c r="O118" s="405">
        <f t="shared" si="74"/>
        <v>566.04</v>
      </c>
      <c r="P118" s="405">
        <f t="shared" si="74"/>
        <v>566.04</v>
      </c>
      <c r="Q118" s="405">
        <f t="shared" si="74"/>
        <v>566.04</v>
      </c>
      <c r="R118" s="405">
        <f t="shared" si="74"/>
        <v>566.04</v>
      </c>
      <c r="S118" s="405">
        <f t="shared" si="74"/>
        <v>566.04</v>
      </c>
      <c r="T118" s="405">
        <f t="shared" si="74"/>
        <v>566.04</v>
      </c>
      <c r="U118" s="405">
        <f t="shared" si="74"/>
        <v>566.04</v>
      </c>
      <c r="V118" s="405">
        <f t="shared" si="74"/>
        <v>566.04</v>
      </c>
    </row>
    <row r="119" spans="1:22" outlineLevel="1" x14ac:dyDescent="0.35">
      <c r="A119" s="14"/>
      <c r="B119" s="14"/>
      <c r="C119" s="14"/>
      <c r="D119" s="14" t="s">
        <v>238</v>
      </c>
      <c r="E119" s="14"/>
      <c r="F119" s="133" t="s">
        <v>170</v>
      </c>
      <c r="G119" s="14"/>
      <c r="H119" s="373">
        <f>H89</f>
        <v>69.600000000000009</v>
      </c>
      <c r="I119" s="373">
        <f>I118-I120</f>
        <v>4.1699999999999875</v>
      </c>
      <c r="J119" s="373">
        <f>J118-J120</f>
        <v>-164.49000000000004</v>
      </c>
      <c r="K119" s="373">
        <f>K118-K120</f>
        <v>-31.319999999999993</v>
      </c>
      <c r="L119" s="373">
        <f>L118-L120</f>
        <v>-172.50999999999993</v>
      </c>
      <c r="M119" s="373">
        <v>0</v>
      </c>
      <c r="N119" s="373">
        <v>0</v>
      </c>
      <c r="O119" s="373">
        <v>0</v>
      </c>
      <c r="P119" s="373">
        <v>0</v>
      </c>
      <c r="Q119" s="373">
        <v>0</v>
      </c>
      <c r="R119" s="373">
        <v>0</v>
      </c>
      <c r="S119" s="373">
        <v>0</v>
      </c>
      <c r="T119" s="373">
        <v>0</v>
      </c>
      <c r="U119" s="373">
        <v>0</v>
      </c>
      <c r="V119" s="373">
        <v>0</v>
      </c>
    </row>
    <row r="120" spans="1:22" outlineLevel="1" x14ac:dyDescent="0.35">
      <c r="A120" s="14"/>
      <c r="B120" s="14"/>
      <c r="C120" s="14"/>
      <c r="D120" s="74" t="s">
        <v>239</v>
      </c>
      <c r="E120" s="74"/>
      <c r="F120" s="136" t="s">
        <v>168</v>
      </c>
      <c r="G120" s="74"/>
      <c r="H120" s="353">
        <f t="shared" ref="H120:M120" si="75">H59</f>
        <v>201.89</v>
      </c>
      <c r="I120" s="353">
        <f t="shared" si="75"/>
        <v>197.72</v>
      </c>
      <c r="J120" s="353">
        <f t="shared" si="75"/>
        <v>362.21000000000004</v>
      </c>
      <c r="K120" s="353">
        <f t="shared" si="75"/>
        <v>393.53000000000003</v>
      </c>
      <c r="L120" s="353">
        <f t="shared" si="75"/>
        <v>566.04</v>
      </c>
      <c r="M120" s="353">
        <f t="shared" si="75"/>
        <v>566.04</v>
      </c>
      <c r="N120" s="353">
        <f t="shared" ref="N120:V120" si="76">+N118+N119</f>
        <v>566.04</v>
      </c>
      <c r="O120" s="353">
        <f t="shared" si="76"/>
        <v>566.04</v>
      </c>
      <c r="P120" s="353">
        <f t="shared" si="76"/>
        <v>566.04</v>
      </c>
      <c r="Q120" s="353">
        <f t="shared" si="76"/>
        <v>566.04</v>
      </c>
      <c r="R120" s="353">
        <f t="shared" si="76"/>
        <v>566.04</v>
      </c>
      <c r="S120" s="353">
        <f t="shared" si="76"/>
        <v>566.04</v>
      </c>
      <c r="T120" s="353">
        <f t="shared" si="76"/>
        <v>566.04</v>
      </c>
      <c r="U120" s="353">
        <f t="shared" si="76"/>
        <v>566.04</v>
      </c>
      <c r="V120" s="353">
        <f t="shared" si="76"/>
        <v>566.04</v>
      </c>
    </row>
    <row r="121" spans="1:22" outlineLevel="1" x14ac:dyDescent="0.35">
      <c r="A121" s="14"/>
      <c r="B121" s="14"/>
      <c r="C121" s="14"/>
      <c r="D121" s="14" t="s">
        <v>240</v>
      </c>
      <c r="E121" s="14"/>
      <c r="F121" s="133" t="s">
        <v>170</v>
      </c>
      <c r="G121" s="14"/>
      <c r="H121" s="373">
        <f>H33</f>
        <v>-13.77</v>
      </c>
      <c r="I121" s="373">
        <f>I33</f>
        <v>-19.079999999999998</v>
      </c>
      <c r="J121" s="373">
        <f>J33</f>
        <v>-28.94</v>
      </c>
      <c r="K121" s="373">
        <f>K33</f>
        <v>-42.06</v>
      </c>
      <c r="L121" s="373">
        <f>L33</f>
        <v>-48.5</v>
      </c>
      <c r="M121" s="405">
        <f>-M120*M13</f>
        <v>-67.958685613002444</v>
      </c>
      <c r="N121" s="405">
        <f t="shared" ref="N121:V121" si="77">-N120*N13</f>
        <v>-67.958685613002444</v>
      </c>
      <c r="O121" s="405">
        <f t="shared" si="77"/>
        <v>-67.958685613002444</v>
      </c>
      <c r="P121" s="405">
        <f t="shared" si="77"/>
        <v>-67.958685613002444</v>
      </c>
      <c r="Q121" s="405">
        <f t="shared" si="77"/>
        <v>-67.958685613002444</v>
      </c>
      <c r="R121" s="405">
        <f t="shared" si="77"/>
        <v>-67.958685613002444</v>
      </c>
      <c r="S121" s="405">
        <f t="shared" si="77"/>
        <v>-67.958685613002444</v>
      </c>
      <c r="T121" s="405">
        <f t="shared" si="77"/>
        <v>-67.958685613002444</v>
      </c>
      <c r="U121" s="405">
        <f t="shared" si="77"/>
        <v>-67.958685613002444</v>
      </c>
      <c r="V121" s="405">
        <f t="shared" si="77"/>
        <v>-67.958685613002444</v>
      </c>
    </row>
    <row r="122" spans="1:22" outlineLevel="1" x14ac:dyDescent="0.35">
      <c r="A122" s="14"/>
      <c r="B122" s="14"/>
      <c r="C122" s="14"/>
      <c r="D122" s="14"/>
      <c r="E122" s="14"/>
      <c r="F122" s="14"/>
      <c r="G122" s="14"/>
      <c r="H122" s="14"/>
      <c r="I122" s="14"/>
      <c r="J122" s="14"/>
      <c r="K122" s="14"/>
      <c r="L122" s="14"/>
      <c r="M122" s="14"/>
      <c r="N122" s="14"/>
      <c r="O122" s="14"/>
      <c r="P122" s="14"/>
      <c r="Q122" s="14"/>
    </row>
    <row r="123" spans="1:22" x14ac:dyDescent="0.35">
      <c r="A123" s="14"/>
      <c r="B123" s="14"/>
      <c r="C123" s="14"/>
      <c r="D123" s="14"/>
      <c r="E123" s="14"/>
      <c r="F123" s="14"/>
      <c r="G123" s="14"/>
      <c r="H123" s="137"/>
      <c r="I123" s="137"/>
      <c r="J123" s="137"/>
      <c r="K123" s="137"/>
      <c r="L123" s="137"/>
      <c r="M123" s="14"/>
      <c r="N123" s="14"/>
      <c r="O123" s="14"/>
      <c r="P123" s="14"/>
      <c r="Q123" s="14"/>
    </row>
    <row r="124" spans="1:22" ht="20.5" x14ac:dyDescent="0.45">
      <c r="A124" s="169" t="s">
        <v>241</v>
      </c>
      <c r="B124" s="170"/>
      <c r="C124" s="170"/>
      <c r="D124" s="170"/>
      <c r="E124" s="170"/>
      <c r="F124" s="170"/>
      <c r="G124" s="170"/>
      <c r="H124" s="170"/>
      <c r="I124" s="170"/>
      <c r="J124" s="170"/>
      <c r="K124" s="170"/>
      <c r="L124" s="170"/>
      <c r="M124" s="170"/>
      <c r="N124" s="170"/>
      <c r="O124" s="170"/>
      <c r="P124" s="170"/>
      <c r="Q124" s="170"/>
      <c r="R124" s="170"/>
      <c r="S124" s="170"/>
      <c r="T124" s="170"/>
      <c r="U124" s="170"/>
      <c r="V124" s="170"/>
    </row>
    <row r="125" spans="1:22" ht="20.5" outlineLevel="1" x14ac:dyDescent="0.45">
      <c r="A125" s="149"/>
      <c r="B125" s="14"/>
      <c r="C125" s="14"/>
      <c r="D125" s="14"/>
      <c r="E125" s="14"/>
      <c r="F125" s="14"/>
      <c r="G125" s="14"/>
      <c r="H125" s="14"/>
      <c r="I125" s="14"/>
      <c r="J125" s="14"/>
      <c r="K125" s="14"/>
      <c r="L125" s="14"/>
      <c r="M125" s="14"/>
      <c r="N125" s="14"/>
      <c r="O125" s="14"/>
      <c r="P125" s="14"/>
      <c r="Q125" s="14"/>
    </row>
    <row r="126" spans="1:22" outlineLevel="1" x14ac:dyDescent="0.35">
      <c r="A126" s="14"/>
      <c r="B126" s="14"/>
      <c r="C126" s="14"/>
      <c r="D126" s="125" t="s">
        <v>242</v>
      </c>
      <c r="E126" s="127"/>
      <c r="F126" s="127"/>
      <c r="G126" s="127"/>
      <c r="H126" s="127"/>
      <c r="I126" s="127"/>
      <c r="J126" s="127"/>
      <c r="K126" s="127"/>
      <c r="L126" s="127"/>
      <c r="M126" s="127"/>
      <c r="N126" s="127"/>
      <c r="O126" s="127"/>
      <c r="P126" s="127"/>
      <c r="Q126" s="127"/>
      <c r="R126" s="19"/>
      <c r="S126" s="19"/>
      <c r="T126" s="19"/>
      <c r="U126" s="19"/>
      <c r="V126" s="19"/>
    </row>
    <row r="127" spans="1:22" outlineLevel="1" x14ac:dyDescent="0.35">
      <c r="A127" s="14"/>
      <c r="B127" s="14"/>
      <c r="C127" s="14"/>
      <c r="D127" s="14" t="s">
        <v>243</v>
      </c>
      <c r="E127" s="150"/>
      <c r="F127" s="14"/>
      <c r="G127" s="14"/>
      <c r="H127" s="151">
        <f ca="1">TODAY()</f>
        <v>46175</v>
      </c>
      <c r="I127" s="151"/>
      <c r="J127" s="14"/>
      <c r="K127" s="14"/>
      <c r="L127" s="14"/>
      <c r="M127" s="14"/>
      <c r="N127" s="14"/>
      <c r="O127" s="14"/>
      <c r="P127" s="14"/>
      <c r="Q127" s="14"/>
    </row>
    <row r="128" spans="1:22" outlineLevel="1" x14ac:dyDescent="0.35">
      <c r="A128" s="14"/>
      <c r="B128" s="14"/>
      <c r="C128" s="14"/>
      <c r="D128" s="14" t="s">
        <v>244</v>
      </c>
      <c r="E128" s="150"/>
      <c r="F128" s="14"/>
      <c r="G128" s="14"/>
      <c r="H128" s="151">
        <v>46112</v>
      </c>
      <c r="I128" s="14"/>
      <c r="J128" s="14"/>
      <c r="K128" s="14"/>
      <c r="L128" s="14"/>
      <c r="M128" s="14"/>
      <c r="N128" s="14"/>
      <c r="O128" s="14"/>
      <c r="P128" s="14"/>
      <c r="Q128" s="14"/>
    </row>
    <row r="129" spans="1:28" outlineLevel="1" x14ac:dyDescent="0.35">
      <c r="A129" s="14"/>
      <c r="B129" s="14"/>
      <c r="C129" s="14"/>
      <c r="D129" s="14" t="s">
        <v>245</v>
      </c>
      <c r="E129" s="152"/>
      <c r="F129" s="14"/>
      <c r="G129" s="14"/>
      <c r="H129" s="391">
        <v>0.25</v>
      </c>
      <c r="I129" s="14"/>
      <c r="J129" s="14"/>
      <c r="K129" s="14"/>
      <c r="L129" s="14"/>
      <c r="M129" s="14"/>
      <c r="N129" s="14"/>
      <c r="O129" s="14"/>
      <c r="P129" s="14"/>
      <c r="Q129" s="14"/>
    </row>
    <row r="130" spans="1:28" outlineLevel="1" x14ac:dyDescent="0.35">
      <c r="A130" s="14"/>
      <c r="B130" s="14"/>
      <c r="C130" s="14"/>
      <c r="D130" s="14" t="s">
        <v>246</v>
      </c>
      <c r="E130" s="153"/>
      <c r="F130" s="14"/>
      <c r="G130" s="14"/>
      <c r="H130" s="417">
        <f>Comp!S19</f>
        <v>41.487929259714072</v>
      </c>
      <c r="I130" s="14"/>
      <c r="J130" s="14"/>
      <c r="K130" s="14"/>
      <c r="L130" s="14"/>
      <c r="M130" s="14"/>
      <c r="N130" s="14"/>
      <c r="O130" s="14"/>
      <c r="P130" s="14"/>
      <c r="Q130" s="14"/>
    </row>
    <row r="131" spans="1:28" outlineLevel="1" x14ac:dyDescent="0.35">
      <c r="A131" s="14"/>
      <c r="B131" s="14"/>
      <c r="C131" s="14"/>
      <c r="D131" s="14" t="s">
        <v>247</v>
      </c>
      <c r="E131" s="152"/>
      <c r="F131" s="14"/>
      <c r="G131" s="14"/>
      <c r="H131" s="391">
        <v>0.04</v>
      </c>
      <c r="I131" s="14"/>
      <c r="J131" s="14"/>
      <c r="K131" s="14"/>
      <c r="L131" s="14"/>
      <c r="M131" s="14"/>
      <c r="N131" s="14"/>
      <c r="O131" s="14"/>
      <c r="P131" s="14"/>
      <c r="Q131" s="14"/>
    </row>
    <row r="132" spans="1:28" outlineLevel="1" x14ac:dyDescent="0.35">
      <c r="A132" s="14"/>
      <c r="B132" s="14"/>
      <c r="C132" s="14"/>
      <c r="D132" s="14" t="s">
        <v>248</v>
      </c>
      <c r="E132" s="154"/>
      <c r="F132" s="14"/>
      <c r="G132" s="14"/>
      <c r="H132" s="470">
        <f>WACC!K47</f>
        <v>0.11606734504340425</v>
      </c>
      <c r="I132" s="14"/>
      <c r="J132" s="14"/>
      <c r="K132" s="14"/>
      <c r="L132" s="14"/>
      <c r="M132" s="14"/>
      <c r="N132" s="14"/>
      <c r="O132" s="14"/>
      <c r="P132" s="14"/>
      <c r="Q132" s="14"/>
    </row>
    <row r="133" spans="1:28" outlineLevel="1" x14ac:dyDescent="0.35">
      <c r="A133" s="14"/>
      <c r="B133" s="14"/>
      <c r="C133" s="14"/>
      <c r="D133" s="14" t="s">
        <v>249</v>
      </c>
      <c r="E133" s="155"/>
      <c r="F133" s="14"/>
      <c r="G133" s="14"/>
      <c r="H133" s="392">
        <f>'Comps Data'!J6</f>
        <v>2.6381673999999999</v>
      </c>
      <c r="I133" s="14"/>
      <c r="J133" s="14"/>
      <c r="K133" s="14"/>
      <c r="L133" s="14"/>
      <c r="M133" s="14"/>
      <c r="N133" s="14"/>
      <c r="O133" s="14"/>
      <c r="P133" s="14"/>
      <c r="Q133" s="14"/>
    </row>
    <row r="134" spans="1:28" outlineLevel="1" x14ac:dyDescent="0.35">
      <c r="A134" s="14"/>
      <c r="B134" s="14"/>
      <c r="C134" s="14"/>
      <c r="D134" s="14" t="s">
        <v>250</v>
      </c>
      <c r="E134" s="155"/>
      <c r="F134" s="14"/>
      <c r="G134" s="14"/>
      <c r="H134" s="392">
        <f>Assumptions!D12</f>
        <v>1669.3</v>
      </c>
      <c r="I134" s="14"/>
      <c r="J134" s="14"/>
      <c r="K134" s="14"/>
      <c r="L134" s="14"/>
      <c r="M134" s="14"/>
      <c r="N134" s="14"/>
      <c r="O134" s="14"/>
      <c r="P134" s="14"/>
      <c r="Q134" s="14"/>
    </row>
    <row r="135" spans="1:28" outlineLevel="1" x14ac:dyDescent="0.35">
      <c r="A135" s="14"/>
      <c r="B135" s="14"/>
      <c r="C135" s="14"/>
      <c r="D135" s="14"/>
      <c r="E135" s="14"/>
      <c r="F135" s="14"/>
      <c r="G135" s="14"/>
      <c r="H135" s="14"/>
      <c r="I135" s="14"/>
      <c r="J135" s="14"/>
      <c r="K135" s="14"/>
      <c r="L135" s="14"/>
      <c r="M135" s="14"/>
      <c r="N135" s="14"/>
      <c r="O135" s="14"/>
      <c r="P135" s="14"/>
      <c r="Q135" s="14"/>
    </row>
    <row r="136" spans="1:28" outlineLevel="1" x14ac:dyDescent="0.35">
      <c r="A136" s="14"/>
      <c r="B136" s="14"/>
      <c r="C136" s="14"/>
      <c r="D136" s="14"/>
      <c r="E136" s="14"/>
      <c r="F136" s="14"/>
      <c r="G136" s="14"/>
      <c r="H136" s="14"/>
      <c r="I136" s="14"/>
      <c r="J136" s="14"/>
      <c r="K136" s="14"/>
      <c r="L136" s="14"/>
      <c r="M136" s="14"/>
      <c r="N136" s="14"/>
      <c r="O136" s="14"/>
      <c r="P136" s="14"/>
      <c r="Q136" s="14"/>
    </row>
    <row r="137" spans="1:28" outlineLevel="1" x14ac:dyDescent="0.35">
      <c r="A137" s="14"/>
      <c r="B137" s="14"/>
      <c r="C137" s="14"/>
      <c r="D137" s="125" t="s">
        <v>251</v>
      </c>
      <c r="E137" s="127"/>
      <c r="F137" s="127"/>
      <c r="G137" s="127"/>
      <c r="H137" s="125">
        <v>2021</v>
      </c>
      <c r="I137" s="125">
        <f>H137+1</f>
        <v>2022</v>
      </c>
      <c r="J137" s="125">
        <f>I137+1</f>
        <v>2023</v>
      </c>
      <c r="K137" s="125">
        <f>J137+1</f>
        <v>2024</v>
      </c>
      <c r="L137" s="125">
        <f>K137+1</f>
        <v>2025</v>
      </c>
      <c r="M137" s="156" t="s">
        <v>252</v>
      </c>
      <c r="N137" s="374">
        <f t="shared" ref="N137:V137" si="78">M2</f>
        <v>2026</v>
      </c>
      <c r="O137" s="375">
        <f t="shared" si="78"/>
        <v>2027</v>
      </c>
      <c r="P137" s="375">
        <f t="shared" si="78"/>
        <v>2028</v>
      </c>
      <c r="Q137" s="375">
        <f t="shared" si="78"/>
        <v>2029</v>
      </c>
      <c r="R137" s="375">
        <f t="shared" si="78"/>
        <v>2030</v>
      </c>
      <c r="S137" s="375">
        <f t="shared" si="78"/>
        <v>2031</v>
      </c>
      <c r="T137" s="375">
        <f t="shared" si="78"/>
        <v>2032</v>
      </c>
      <c r="U137" s="375">
        <f t="shared" si="78"/>
        <v>2033</v>
      </c>
      <c r="V137" s="375">
        <f t="shared" si="78"/>
        <v>2034</v>
      </c>
      <c r="W137" s="125">
        <f>V137+1</f>
        <v>2035</v>
      </c>
      <c r="X137" s="156" t="s">
        <v>276</v>
      </c>
      <c r="Y137" s="14"/>
      <c r="Z137" s="125" t="s">
        <v>277</v>
      </c>
      <c r="AA137" s="127"/>
      <c r="AB137" s="127"/>
    </row>
    <row r="138" spans="1:28" outlineLevel="1" x14ac:dyDescent="0.35">
      <c r="A138" s="143"/>
      <c r="B138" s="143"/>
      <c r="C138" s="143"/>
      <c r="D138" s="143" t="s">
        <v>253</v>
      </c>
      <c r="E138" s="143"/>
      <c r="F138" s="143"/>
      <c r="G138" s="143"/>
      <c r="H138" s="157">
        <v>44286</v>
      </c>
      <c r="I138" s="157">
        <f>H138+365</f>
        <v>44651</v>
      </c>
      <c r="J138" s="157">
        <f>I138+365</f>
        <v>45016</v>
      </c>
      <c r="K138" s="157">
        <f>J138+366</f>
        <v>45382</v>
      </c>
      <c r="L138" s="157">
        <f>K138+365</f>
        <v>45747</v>
      </c>
      <c r="M138" s="157">
        <f ca="1">TODAY()</f>
        <v>46175</v>
      </c>
      <c r="N138" s="157">
        <v>46112</v>
      </c>
      <c r="O138" s="157">
        <f>N138+365</f>
        <v>46477</v>
      </c>
      <c r="P138" s="157">
        <f>O138+366</f>
        <v>46843</v>
      </c>
      <c r="Q138" s="157">
        <f t="shared" ref="Q138:W138" si="79">P138+365</f>
        <v>47208</v>
      </c>
      <c r="R138" s="157">
        <f t="shared" si="79"/>
        <v>47573</v>
      </c>
      <c r="S138" s="157">
        <f t="shared" si="79"/>
        <v>47938</v>
      </c>
      <c r="T138" s="157">
        <f>S138+366</f>
        <v>48304</v>
      </c>
      <c r="U138" s="157">
        <f t="shared" si="79"/>
        <v>48669</v>
      </c>
      <c r="V138" s="157">
        <f t="shared" si="79"/>
        <v>49034</v>
      </c>
      <c r="W138" s="157">
        <f t="shared" si="79"/>
        <v>49399</v>
      </c>
      <c r="X138" s="157">
        <f>W138</f>
        <v>49399</v>
      </c>
      <c r="Y138" s="143"/>
      <c r="Z138" s="14" t="s">
        <v>278</v>
      </c>
      <c r="AA138" s="143"/>
      <c r="AB138" s="129">
        <f>H130*(W142+W145)</f>
        <v>9438.4334045436008</v>
      </c>
    </row>
    <row r="139" spans="1:28" outlineLevel="1" x14ac:dyDescent="0.35">
      <c r="A139" s="143"/>
      <c r="B139" s="143"/>
      <c r="C139" s="143"/>
      <c r="D139" s="143" t="s">
        <v>254</v>
      </c>
      <c r="E139" s="143"/>
      <c r="F139" s="143"/>
      <c r="G139" s="143"/>
      <c r="H139" s="143">
        <v>0</v>
      </c>
      <c r="I139" s="143">
        <v>0</v>
      </c>
      <c r="J139" s="143">
        <v>0</v>
      </c>
      <c r="K139" s="143">
        <v>0</v>
      </c>
      <c r="L139" s="143">
        <v>0</v>
      </c>
      <c r="M139" s="143"/>
      <c r="N139" s="143">
        <v>0</v>
      </c>
      <c r="O139" s="143">
        <v>1</v>
      </c>
      <c r="P139" s="143">
        <v>2</v>
      </c>
      <c r="Q139" s="143">
        <v>3</v>
      </c>
      <c r="R139" s="143">
        <v>4</v>
      </c>
      <c r="S139" s="143">
        <v>5</v>
      </c>
      <c r="T139" s="143">
        <v>6</v>
      </c>
      <c r="U139" s="143">
        <v>7</v>
      </c>
      <c r="V139" s="143">
        <v>8</v>
      </c>
      <c r="W139" s="143">
        <v>9</v>
      </c>
      <c r="X139" s="143"/>
      <c r="Y139" s="143"/>
      <c r="Z139" s="14" t="s">
        <v>279</v>
      </c>
      <c r="AA139" s="143"/>
      <c r="AB139" s="171">
        <f>W148*(1+H131)/(H132-H131)</f>
        <v>2161.5084724600183</v>
      </c>
    </row>
    <row r="140" spans="1:28" outlineLevel="1" x14ac:dyDescent="0.35">
      <c r="A140" s="143"/>
      <c r="B140" s="143"/>
      <c r="C140" s="143"/>
      <c r="D140" s="143" t="s">
        <v>255</v>
      </c>
      <c r="E140" s="143"/>
      <c r="F140" s="143"/>
      <c r="G140" s="143"/>
      <c r="H140" s="158">
        <v>1</v>
      </c>
      <c r="I140" s="158">
        <v>1</v>
      </c>
      <c r="J140" s="158">
        <v>1</v>
      </c>
      <c r="K140" s="158">
        <v>1</v>
      </c>
      <c r="L140" s="158">
        <v>1</v>
      </c>
      <c r="M140" s="143"/>
      <c r="N140" s="158">
        <f ca="1">YEARFRAC(M138,N138)</f>
        <v>0.17222222222222222</v>
      </c>
      <c r="O140" s="158">
        <f>YEARFRAC(N138,O138)</f>
        <v>1</v>
      </c>
      <c r="P140" s="158">
        <f t="shared" ref="P140:W140" si="80">YEARFRAC(O138,P138)</f>
        <v>1</v>
      </c>
      <c r="Q140" s="158">
        <f t="shared" si="80"/>
        <v>1</v>
      </c>
      <c r="R140" s="158">
        <f t="shared" si="80"/>
        <v>1</v>
      </c>
      <c r="S140" s="158">
        <f t="shared" si="80"/>
        <v>1</v>
      </c>
      <c r="T140" s="158">
        <f t="shared" si="80"/>
        <v>1</v>
      </c>
      <c r="U140" s="158">
        <f t="shared" si="80"/>
        <v>1</v>
      </c>
      <c r="V140" s="158">
        <f t="shared" si="80"/>
        <v>1</v>
      </c>
      <c r="W140" s="158">
        <f t="shared" si="80"/>
        <v>1</v>
      </c>
      <c r="X140" s="396">
        <v>1</v>
      </c>
      <c r="Y140" s="143"/>
      <c r="Z140" s="172" t="s">
        <v>280</v>
      </c>
      <c r="AA140" s="172"/>
      <c r="AB140" s="173">
        <f>AVERAGE(AB138:AB139)</f>
        <v>5799.9709385018095</v>
      </c>
    </row>
    <row r="141" spans="1:28" outlineLevel="1" x14ac:dyDescent="0.3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spans="1:28" outlineLevel="1" x14ac:dyDescent="0.35">
      <c r="A142" s="14"/>
      <c r="B142" s="14"/>
      <c r="C142" s="14"/>
      <c r="D142" s="14" t="s">
        <v>177</v>
      </c>
      <c r="E142" s="14"/>
      <c r="F142" s="14"/>
      <c r="G142" s="14"/>
      <c r="H142" s="373">
        <f>H32</f>
        <v>57.460000000000043</v>
      </c>
      <c r="I142" s="373">
        <f>I32</f>
        <v>74.900000000000034</v>
      </c>
      <c r="J142" s="373">
        <f>J32</f>
        <v>95.419999999999973</v>
      </c>
      <c r="K142" s="373">
        <f>K32</f>
        <v>87.17999999999995</v>
      </c>
      <c r="L142" s="373">
        <f>L32</f>
        <v>108.52999999999997</v>
      </c>
      <c r="M142" s="101"/>
      <c r="N142" s="135">
        <f>M32</f>
        <v>121.38106380049922</v>
      </c>
      <c r="O142" s="135">
        <f t="shared" ref="O142:W142" si="81">N32</f>
        <v>127.75510275786078</v>
      </c>
      <c r="P142" s="135">
        <f t="shared" si="81"/>
        <v>134.27327245950579</v>
      </c>
      <c r="Q142" s="135">
        <f t="shared" si="81"/>
        <v>136.99998907935753</v>
      </c>
      <c r="R142" s="135">
        <f t="shared" si="81"/>
        <v>143.52864094429572</v>
      </c>
      <c r="S142" s="135">
        <f t="shared" si="81"/>
        <v>150.10860088457329</v>
      </c>
      <c r="T142" s="135">
        <f t="shared" si="81"/>
        <v>151.90028027442509</v>
      </c>
      <c r="U142" s="135">
        <f t="shared" si="81"/>
        <v>158.45086493502015</v>
      </c>
      <c r="V142" s="135">
        <f t="shared" si="81"/>
        <v>164.97314569110429</v>
      </c>
      <c r="W142" s="135">
        <f t="shared" si="81"/>
        <v>165.91633161754368</v>
      </c>
      <c r="X142" s="14"/>
      <c r="Y142" s="14"/>
      <c r="Z142" s="14"/>
      <c r="AA142" s="14"/>
      <c r="AB142" s="14"/>
    </row>
    <row r="143" spans="1:28" outlineLevel="1" x14ac:dyDescent="0.35">
      <c r="A143" s="14"/>
      <c r="B143" s="14"/>
      <c r="C143" s="14"/>
      <c r="D143" s="127" t="s">
        <v>256</v>
      </c>
      <c r="E143" s="127"/>
      <c r="F143" s="127"/>
      <c r="G143" s="127"/>
      <c r="H143" s="393">
        <f>-$H$129*H142</f>
        <v>-14.365000000000011</v>
      </c>
      <c r="I143" s="393">
        <f t="shared" ref="I143:W143" si="82">-$H$129*I142</f>
        <v>-18.725000000000009</v>
      </c>
      <c r="J143" s="393">
        <f t="shared" si="82"/>
        <v>-23.854999999999993</v>
      </c>
      <c r="K143" s="393">
        <f t="shared" si="82"/>
        <v>-21.794999999999987</v>
      </c>
      <c r="L143" s="393">
        <f t="shared" si="82"/>
        <v>-27.132499999999993</v>
      </c>
      <c r="M143" s="454">
        <f t="shared" si="82"/>
        <v>0</v>
      </c>
      <c r="N143" s="393">
        <f t="shared" si="82"/>
        <v>-30.345265950124805</v>
      </c>
      <c r="O143" s="393">
        <f t="shared" si="82"/>
        <v>-31.938775689465196</v>
      </c>
      <c r="P143" s="393">
        <f t="shared" si="82"/>
        <v>-33.568318114876448</v>
      </c>
      <c r="Q143" s="393">
        <f t="shared" si="82"/>
        <v>-34.249997269839383</v>
      </c>
      <c r="R143" s="393">
        <f t="shared" si="82"/>
        <v>-35.882160236073929</v>
      </c>
      <c r="S143" s="393">
        <f t="shared" si="82"/>
        <v>-37.527150221143323</v>
      </c>
      <c r="T143" s="393">
        <f t="shared" si="82"/>
        <v>-37.975070068606271</v>
      </c>
      <c r="U143" s="393">
        <f t="shared" si="82"/>
        <v>-39.612716233755037</v>
      </c>
      <c r="V143" s="393">
        <f t="shared" si="82"/>
        <v>-41.243286422776073</v>
      </c>
      <c r="W143" s="393">
        <f t="shared" si="82"/>
        <v>-41.479082904385919</v>
      </c>
      <c r="X143" s="14"/>
      <c r="Y143" s="14"/>
      <c r="Z143" s="14"/>
      <c r="AA143" s="14"/>
      <c r="AB143" s="14"/>
    </row>
    <row r="144" spans="1:28" outlineLevel="1" x14ac:dyDescent="0.35">
      <c r="A144" s="14"/>
      <c r="B144" s="14"/>
      <c r="C144" s="14"/>
      <c r="D144" s="14" t="s">
        <v>257</v>
      </c>
      <c r="E144" s="14"/>
      <c r="F144" s="14"/>
      <c r="G144" s="14"/>
      <c r="H144" s="373">
        <f>SUM(H142:H143)</f>
        <v>43.095000000000034</v>
      </c>
      <c r="I144" s="373">
        <f t="shared" ref="I144:W144" si="83">SUM(I142:I143)</f>
        <v>56.175000000000026</v>
      </c>
      <c r="J144" s="373">
        <f t="shared" si="83"/>
        <v>71.564999999999984</v>
      </c>
      <c r="K144" s="373">
        <f t="shared" si="83"/>
        <v>65.384999999999962</v>
      </c>
      <c r="L144" s="373">
        <f t="shared" si="83"/>
        <v>81.39749999999998</v>
      </c>
      <c r="M144" s="394">
        <f t="shared" si="83"/>
        <v>0</v>
      </c>
      <c r="N144" s="373">
        <f t="shared" si="83"/>
        <v>91.035797850374422</v>
      </c>
      <c r="O144" s="373">
        <f t="shared" si="83"/>
        <v>95.816327068395594</v>
      </c>
      <c r="P144" s="373">
        <f t="shared" si="83"/>
        <v>100.70495434462934</v>
      </c>
      <c r="Q144" s="373">
        <f t="shared" si="83"/>
        <v>102.74999180951815</v>
      </c>
      <c r="R144" s="373">
        <f t="shared" si="83"/>
        <v>107.64648070822179</v>
      </c>
      <c r="S144" s="373">
        <f t="shared" si="83"/>
        <v>112.58145066342996</v>
      </c>
      <c r="T144" s="373">
        <f t="shared" si="83"/>
        <v>113.92521020581881</v>
      </c>
      <c r="U144" s="373">
        <f t="shared" si="83"/>
        <v>118.83814870126511</v>
      </c>
      <c r="V144" s="373">
        <f t="shared" si="83"/>
        <v>123.72985926832823</v>
      </c>
      <c r="W144" s="373">
        <f t="shared" si="83"/>
        <v>124.43724871315776</v>
      </c>
      <c r="X144" s="75"/>
      <c r="Y144" s="14"/>
      <c r="Z144" s="14"/>
      <c r="AA144" s="14"/>
      <c r="AB144" s="14"/>
    </row>
    <row r="145" spans="1:28" outlineLevel="1" x14ac:dyDescent="0.35">
      <c r="A145" s="14"/>
      <c r="B145" s="14"/>
      <c r="C145" s="14"/>
      <c r="D145" s="14" t="s">
        <v>209</v>
      </c>
      <c r="E145" s="14"/>
      <c r="F145" s="14"/>
      <c r="G145" s="14"/>
      <c r="H145" s="373">
        <f>H75</f>
        <v>6.9</v>
      </c>
      <c r="I145" s="373">
        <f>I75</f>
        <v>11.69</v>
      </c>
      <c r="J145" s="373">
        <f>J75</f>
        <v>16.2</v>
      </c>
      <c r="K145" s="373">
        <f>K75</f>
        <v>22.87</v>
      </c>
      <c r="L145" s="373">
        <f>L75</f>
        <v>27.79</v>
      </c>
      <c r="M145" s="101"/>
      <c r="N145" s="373">
        <f>-M31</f>
        <v>22.777738026647459</v>
      </c>
      <c r="O145" s="373">
        <f t="shared" ref="O145:W145" si="84">-N31</f>
        <v>25.889348229512144</v>
      </c>
      <c r="P145" s="373">
        <f t="shared" si="84"/>
        <v>28.874395110338263</v>
      </c>
      <c r="Q145" s="373">
        <f t="shared" si="84"/>
        <v>35.633227452944688</v>
      </c>
      <c r="R145" s="373">
        <f t="shared" si="84"/>
        <v>38.539399886839888</v>
      </c>
      <c r="S145" s="373">
        <f t="shared" si="84"/>
        <v>41.312872672714427</v>
      </c>
      <c r="T145" s="373">
        <f t="shared" si="84"/>
        <v>48.765105586529486</v>
      </c>
      <c r="U145" s="373">
        <f t="shared" si="84"/>
        <v>51.323411392193904</v>
      </c>
      <c r="V145" s="373">
        <f t="shared" si="84"/>
        <v>53.752162442889947</v>
      </c>
      <c r="W145" s="373">
        <f t="shared" si="84"/>
        <v>61.581969043814716</v>
      </c>
      <c r="X145" s="14"/>
      <c r="Y145" s="14"/>
      <c r="Z145" s="14"/>
      <c r="AA145" s="14"/>
      <c r="AB145" s="14"/>
    </row>
    <row r="146" spans="1:28" outlineLevel="1" x14ac:dyDescent="0.35">
      <c r="A146" s="14"/>
      <c r="B146" s="14"/>
      <c r="C146" s="14"/>
      <c r="D146" s="14" t="s">
        <v>258</v>
      </c>
      <c r="E146" s="14"/>
      <c r="F146" s="14"/>
      <c r="G146" s="14"/>
      <c r="H146" s="394">
        <f>H112</f>
        <v>0</v>
      </c>
      <c r="I146" s="395">
        <f>I112</f>
        <v>66.249999999999972</v>
      </c>
      <c r="J146" s="395">
        <f>J112</f>
        <v>102.49000000000002</v>
      </c>
      <c r="K146" s="395">
        <f>K112</f>
        <v>244.37</v>
      </c>
      <c r="L146" s="395">
        <f>L112</f>
        <v>-16.490000000000087</v>
      </c>
      <c r="M146" s="101"/>
      <c r="N146" s="373">
        <f>-M20</f>
        <v>-1.6907351099982115</v>
      </c>
      <c r="O146" s="373">
        <f t="shared" ref="O146:W146" si="85">-N20</f>
        <v>-1.9907351099982116</v>
      </c>
      <c r="P146" s="373">
        <f t="shared" si="85"/>
        <v>-2.2907351099982116</v>
      </c>
      <c r="Q146" s="373">
        <f t="shared" si="85"/>
        <v>-2.5907351099982114</v>
      </c>
      <c r="R146" s="373">
        <f t="shared" si="85"/>
        <v>-2.8907351099982113</v>
      </c>
      <c r="S146" s="373">
        <f t="shared" si="85"/>
        <v>-3.1907351099982111</v>
      </c>
      <c r="T146" s="373">
        <f t="shared" si="85"/>
        <v>-3.4907351099982109</v>
      </c>
      <c r="U146" s="373">
        <f t="shared" si="85"/>
        <v>-3.7907351099982107</v>
      </c>
      <c r="V146" s="373">
        <f t="shared" si="85"/>
        <v>-4.090735109998211</v>
      </c>
      <c r="W146" s="373">
        <f t="shared" si="85"/>
        <v>-4.3907351099982108</v>
      </c>
      <c r="X146" s="14"/>
      <c r="Y146" s="14"/>
      <c r="Z146" s="14"/>
      <c r="AA146" s="14"/>
      <c r="AB146" s="14"/>
    </row>
    <row r="147" spans="1:28" outlineLevel="1" x14ac:dyDescent="0.35">
      <c r="A147" s="14"/>
      <c r="B147" s="14"/>
      <c r="C147" s="14"/>
      <c r="D147" s="127" t="s">
        <v>259</v>
      </c>
      <c r="E147" s="127"/>
      <c r="F147" s="127"/>
      <c r="G147" s="127"/>
      <c r="H147" s="393">
        <f>H108</f>
        <v>36.589999999999996</v>
      </c>
      <c r="I147" s="393">
        <f>I108</f>
        <v>-70.08</v>
      </c>
      <c r="J147" s="393">
        <f>J108</f>
        <v>-135.9</v>
      </c>
      <c r="K147" s="393">
        <f>K108</f>
        <v>-128.76</v>
      </c>
      <c r="L147" s="393">
        <f>L108</f>
        <v>64.739999999999995</v>
      </c>
      <c r="M147" s="455"/>
      <c r="N147" s="393">
        <f>M108</f>
        <v>-140.5225481968333</v>
      </c>
      <c r="O147" s="393">
        <f t="shared" ref="O147:W147" si="86">N108</f>
        <v>-25.443711671351707</v>
      </c>
      <c r="P147" s="393">
        <f t="shared" si="86"/>
        <v>-25.490833425366958</v>
      </c>
      <c r="Q147" s="393">
        <f t="shared" si="86"/>
        <v>-25.443442907129224</v>
      </c>
      <c r="R147" s="393">
        <f t="shared" si="86"/>
        <v>-25.307382243900719</v>
      </c>
      <c r="S147" s="393">
        <f t="shared" si="86"/>
        <v>-25.089062583031534</v>
      </c>
      <c r="T147" s="393">
        <f t="shared" si="86"/>
        <v>-24.795291855823677</v>
      </c>
      <c r="U147" s="393">
        <f t="shared" si="86"/>
        <v>-24.433117729171954</v>
      </c>
      <c r="V147" s="393">
        <f t="shared" si="86"/>
        <v>-24.009687540181119</v>
      </c>
      <c r="W147" s="393">
        <f t="shared" si="86"/>
        <v>-23.532126119226291</v>
      </c>
      <c r="X147" s="14"/>
      <c r="Y147" s="14"/>
      <c r="Z147" s="14"/>
      <c r="AA147" s="14"/>
      <c r="AB147" s="14"/>
    </row>
    <row r="148" spans="1:28" outlineLevel="1" x14ac:dyDescent="0.35">
      <c r="A148" s="18"/>
      <c r="B148" s="18"/>
      <c r="C148" s="18"/>
      <c r="D148" s="18" t="s">
        <v>260</v>
      </c>
      <c r="E148" s="18"/>
      <c r="F148" s="18"/>
      <c r="G148" s="18"/>
      <c r="H148" s="355">
        <f>SUM(H144:H147)</f>
        <v>86.585000000000036</v>
      </c>
      <c r="I148" s="355">
        <f t="shared" ref="I148:W148" si="87">SUM(I144:I147)</f>
        <v>64.035000000000011</v>
      </c>
      <c r="J148" s="355">
        <f t="shared" si="87"/>
        <v>54.35499999999999</v>
      </c>
      <c r="K148" s="355">
        <f t="shared" si="87"/>
        <v>203.86500000000001</v>
      </c>
      <c r="L148" s="355">
        <f t="shared" si="87"/>
        <v>157.43749999999989</v>
      </c>
      <c r="M148" s="394">
        <f t="shared" si="87"/>
        <v>0</v>
      </c>
      <c r="N148" s="355">
        <f t="shared" si="87"/>
        <v>-28.399747429809636</v>
      </c>
      <c r="O148" s="355">
        <f t="shared" si="87"/>
        <v>94.271228516557812</v>
      </c>
      <c r="P148" s="355">
        <f t="shared" si="87"/>
        <v>101.79778091960243</v>
      </c>
      <c r="Q148" s="355">
        <f t="shared" si="87"/>
        <v>110.3490412453354</v>
      </c>
      <c r="R148" s="355">
        <f t="shared" si="87"/>
        <v>117.98776324116275</v>
      </c>
      <c r="S148" s="355">
        <f t="shared" si="87"/>
        <v>125.61452564311466</v>
      </c>
      <c r="T148" s="355">
        <f t="shared" si="87"/>
        <v>134.40428882652643</v>
      </c>
      <c r="U148" s="355">
        <f t="shared" si="87"/>
        <v>141.93770725428882</v>
      </c>
      <c r="V148" s="355">
        <f t="shared" si="87"/>
        <v>149.38159906103886</v>
      </c>
      <c r="W148" s="355">
        <f t="shared" si="87"/>
        <v>158.09635652774796</v>
      </c>
      <c r="X148" s="416">
        <f>AB140</f>
        <v>5799.9709385018095</v>
      </c>
      <c r="Y148" s="18"/>
      <c r="Z148" s="18"/>
      <c r="AA148" s="18"/>
      <c r="AB148" s="18"/>
    </row>
    <row r="149" spans="1:28" outlineLevel="1" x14ac:dyDescent="0.35">
      <c r="A149" s="14"/>
      <c r="B149" s="14"/>
      <c r="C149" s="14"/>
      <c r="D149" s="14"/>
      <c r="E149" s="14"/>
      <c r="F149" s="14"/>
      <c r="G149" s="14"/>
      <c r="H149" s="14"/>
      <c r="I149" s="14"/>
      <c r="J149" s="14"/>
      <c r="K149" s="14"/>
      <c r="L149" s="14"/>
      <c r="M149" s="101"/>
      <c r="N149" s="14"/>
      <c r="O149" s="14"/>
      <c r="P149" s="14"/>
      <c r="Q149" s="14"/>
      <c r="R149" s="14"/>
      <c r="S149" s="14"/>
      <c r="T149" s="14"/>
      <c r="U149" s="14"/>
      <c r="V149" s="14"/>
      <c r="W149" s="14"/>
      <c r="X149" s="14"/>
      <c r="Y149" s="14"/>
      <c r="Z149" s="14"/>
      <c r="AA149" s="14"/>
      <c r="AB149" s="14"/>
    </row>
    <row r="150" spans="1:28" outlineLevel="1" x14ac:dyDescent="0.35">
      <c r="A150" s="18"/>
      <c r="B150" s="18"/>
      <c r="C150" s="18"/>
      <c r="D150" s="18" t="s">
        <v>261</v>
      </c>
      <c r="E150" s="18"/>
      <c r="F150" s="18"/>
      <c r="G150" s="18"/>
      <c r="H150" s="21">
        <f>H148*H140</f>
        <v>86.585000000000036</v>
      </c>
      <c r="I150" s="21">
        <f>I148*I140</f>
        <v>64.035000000000011</v>
      </c>
      <c r="J150" s="21">
        <f t="shared" ref="J150:V150" si="88">J148*J140</f>
        <v>54.35499999999999</v>
      </c>
      <c r="K150" s="21">
        <f t="shared" si="88"/>
        <v>203.86500000000001</v>
      </c>
      <c r="L150" s="21">
        <f t="shared" si="88"/>
        <v>157.43749999999989</v>
      </c>
      <c r="M150" s="453"/>
      <c r="N150" s="21">
        <f t="shared" ca="1" si="88"/>
        <v>-4.8910676129116597</v>
      </c>
      <c r="O150" s="21">
        <f t="shared" si="88"/>
        <v>94.271228516557812</v>
      </c>
      <c r="P150" s="21">
        <f t="shared" si="88"/>
        <v>101.79778091960243</v>
      </c>
      <c r="Q150" s="21">
        <f t="shared" si="88"/>
        <v>110.3490412453354</v>
      </c>
      <c r="R150" s="21">
        <f t="shared" si="88"/>
        <v>117.98776324116275</v>
      </c>
      <c r="S150" s="21">
        <f t="shared" si="88"/>
        <v>125.61452564311466</v>
      </c>
      <c r="T150" s="21">
        <f t="shared" si="88"/>
        <v>134.40428882652643</v>
      </c>
      <c r="U150" s="21">
        <f t="shared" si="88"/>
        <v>141.93770725428882</v>
      </c>
      <c r="V150" s="21">
        <f t="shared" si="88"/>
        <v>149.38159906103886</v>
      </c>
      <c r="W150" s="21">
        <f>W148*W140</f>
        <v>158.09635652774796</v>
      </c>
      <c r="X150" s="142">
        <f>X148*X140</f>
        <v>5799.9709385018095</v>
      </c>
      <c r="Y150" s="18"/>
      <c r="Z150" s="18"/>
      <c r="AA150" s="18"/>
      <c r="AB150" s="18"/>
    </row>
    <row r="151" spans="1:28" outlineLevel="1" x14ac:dyDescent="0.35">
      <c r="A151" s="14"/>
      <c r="B151" s="14"/>
      <c r="C151" s="14"/>
      <c r="D151" s="14"/>
      <c r="E151" s="14"/>
      <c r="F151" s="14"/>
      <c r="G151" s="14"/>
      <c r="H151" s="142"/>
      <c r="I151" s="142"/>
      <c r="J151" s="142"/>
      <c r="K151" s="142"/>
      <c r="L151" s="142"/>
      <c r="M151" s="14"/>
      <c r="N151" s="14"/>
      <c r="O151" s="14"/>
      <c r="P151" s="14"/>
      <c r="Q151" s="14"/>
      <c r="R151" s="14"/>
      <c r="S151" s="14"/>
      <c r="T151" s="14"/>
      <c r="U151" s="14"/>
      <c r="V151" s="14"/>
      <c r="W151" s="14"/>
      <c r="X151" s="14"/>
      <c r="Y151" s="14"/>
      <c r="Z151" s="14"/>
      <c r="AA151" s="14"/>
      <c r="AB151" s="14"/>
    </row>
    <row r="152" spans="1:28" outlineLevel="1" x14ac:dyDescent="0.35">
      <c r="A152" s="14"/>
      <c r="B152" s="14"/>
      <c r="C152" s="14"/>
      <c r="D152" s="14"/>
      <c r="E152" s="14"/>
      <c r="F152" s="14"/>
      <c r="G152" s="14"/>
      <c r="H152" s="14"/>
      <c r="I152" s="14"/>
      <c r="J152" s="14"/>
      <c r="K152" s="14"/>
      <c r="L152" s="14"/>
      <c r="M152" s="14"/>
      <c r="N152" s="14"/>
      <c r="O152" s="14"/>
      <c r="P152" s="14"/>
      <c r="Q152" s="14"/>
    </row>
    <row r="153" spans="1:28" outlineLevel="1" x14ac:dyDescent="0.35">
      <c r="A153" s="14"/>
      <c r="B153" s="14"/>
      <c r="C153" s="14"/>
      <c r="D153" s="14"/>
      <c r="E153" s="14"/>
      <c r="F153" s="14"/>
      <c r="G153" s="14"/>
      <c r="H153" s="14"/>
      <c r="I153" s="14"/>
      <c r="J153" s="14"/>
      <c r="K153" s="14"/>
      <c r="L153" s="14"/>
      <c r="M153" s="14"/>
      <c r="N153" s="14"/>
      <c r="O153" s="14"/>
      <c r="P153" s="14"/>
      <c r="Q153" s="14"/>
    </row>
    <row r="154" spans="1:28" outlineLevel="1" x14ac:dyDescent="0.35">
      <c r="A154" s="14"/>
      <c r="B154" s="14"/>
      <c r="C154" s="14"/>
      <c r="D154" s="14"/>
      <c r="E154" s="14"/>
      <c r="F154" s="14"/>
      <c r="G154" s="14"/>
      <c r="H154" s="14"/>
      <c r="I154" s="14"/>
      <c r="J154" s="14"/>
      <c r="K154" s="14"/>
      <c r="L154" s="14"/>
      <c r="M154" s="14"/>
      <c r="N154" s="14"/>
      <c r="O154" s="14"/>
      <c r="P154" s="14"/>
      <c r="Q154" s="14"/>
    </row>
    <row r="155" spans="1:28" outlineLevel="1" x14ac:dyDescent="0.35">
      <c r="A155" s="14"/>
      <c r="B155" s="14"/>
      <c r="C155" s="14"/>
      <c r="D155" s="125" t="s">
        <v>262</v>
      </c>
      <c r="E155" s="125"/>
      <c r="F155" s="18"/>
      <c r="G155" s="14"/>
      <c r="I155" s="125" t="s">
        <v>263</v>
      </c>
      <c r="J155" s="127"/>
      <c r="K155" s="127"/>
      <c r="L155" s="127"/>
      <c r="O155" s="125" t="s">
        <v>264</v>
      </c>
      <c r="P155" s="127"/>
      <c r="Q155" s="127"/>
    </row>
    <row r="156" spans="1:28" outlineLevel="1" x14ac:dyDescent="0.35">
      <c r="A156" s="14"/>
      <c r="B156" s="14"/>
      <c r="C156" s="14"/>
      <c r="D156" s="14" t="s">
        <v>265</v>
      </c>
      <c r="E156" s="401">
        <f ca="1">XNPV(H132,O150:X150,O138:X138)+N150</f>
        <v>3128.6488823546938</v>
      </c>
      <c r="F156" s="14"/>
      <c r="G156" s="14"/>
      <c r="I156" s="14" t="s">
        <v>266</v>
      </c>
      <c r="J156" s="14"/>
      <c r="K156" s="14"/>
      <c r="L156" s="129">
        <f>H133*H134</f>
        <v>4403.8928408199999</v>
      </c>
      <c r="O156" s="14" t="s">
        <v>250</v>
      </c>
      <c r="P156" s="14"/>
      <c r="Q156" s="129">
        <f>L162</f>
        <v>1669.3</v>
      </c>
    </row>
    <row r="157" spans="1:28" outlineLevel="1" x14ac:dyDescent="0.35">
      <c r="A157" s="14"/>
      <c r="B157" s="14"/>
      <c r="C157" s="14"/>
      <c r="D157" s="14" t="s">
        <v>267</v>
      </c>
      <c r="E157" s="373">
        <f>SUM(L42,L43,L50)</f>
        <v>19.52</v>
      </c>
      <c r="F157" s="14"/>
      <c r="G157" s="14"/>
      <c r="I157" s="14" t="s">
        <v>268</v>
      </c>
      <c r="J157" s="14"/>
      <c r="K157" s="14"/>
      <c r="L157" s="373">
        <f>L59</f>
        <v>566.04</v>
      </c>
      <c r="O157" s="14" t="s">
        <v>269</v>
      </c>
      <c r="P157" s="14"/>
      <c r="Q157" s="373">
        <f ca="1">E162</f>
        <v>978.75854365977455</v>
      </c>
    </row>
    <row r="158" spans="1:28" outlineLevel="1" x14ac:dyDescent="0.35">
      <c r="A158" s="14"/>
      <c r="B158" s="14"/>
      <c r="C158" s="14"/>
      <c r="D158" s="14" t="s">
        <v>270</v>
      </c>
      <c r="E158" s="373">
        <f>-L59</f>
        <v>-566.04</v>
      </c>
      <c r="F158" s="14"/>
      <c r="G158" s="14"/>
      <c r="I158" s="14" t="s">
        <v>271</v>
      </c>
      <c r="J158" s="14"/>
      <c r="K158" s="14"/>
      <c r="L158" s="373">
        <f>-E159</f>
        <v>0</v>
      </c>
      <c r="O158" s="14" t="s">
        <v>394</v>
      </c>
      <c r="P158" s="14"/>
      <c r="Q158" s="159">
        <f ca="1">Q157/Q156-1</f>
        <v>-0.41367127319249108</v>
      </c>
    </row>
    <row r="159" spans="1:28" outlineLevel="1" x14ac:dyDescent="0.35">
      <c r="A159" s="14"/>
      <c r="B159" s="14"/>
      <c r="C159" s="14"/>
      <c r="D159" s="14" t="s">
        <v>272</v>
      </c>
      <c r="E159" s="393"/>
      <c r="F159" s="14"/>
      <c r="G159" s="14"/>
      <c r="I159" s="14" t="s">
        <v>273</v>
      </c>
      <c r="J159" s="14"/>
      <c r="K159" s="14"/>
      <c r="L159" s="393">
        <f>-E157</f>
        <v>-19.52</v>
      </c>
      <c r="O159" s="14"/>
      <c r="P159" s="14"/>
    </row>
    <row r="160" spans="1:28" outlineLevel="1" x14ac:dyDescent="0.35">
      <c r="A160" s="14"/>
      <c r="B160" s="14"/>
      <c r="C160" s="14"/>
      <c r="D160" s="14" t="s">
        <v>274</v>
      </c>
      <c r="E160" s="401">
        <f ca="1">SUM(E156:E159)</f>
        <v>2582.1288823546938</v>
      </c>
      <c r="F160" s="14"/>
      <c r="G160" s="14"/>
      <c r="I160" s="14" t="s">
        <v>265</v>
      </c>
      <c r="J160" s="14"/>
      <c r="K160" s="14"/>
      <c r="L160" s="129">
        <f>SUM(L156:L159)</f>
        <v>4950.4128408199995</v>
      </c>
      <c r="N160" s="14"/>
      <c r="O160" s="14"/>
      <c r="Q160" s="14"/>
    </row>
    <row r="161" spans="1:22" outlineLevel="1" x14ac:dyDescent="0.35">
      <c r="A161" s="14"/>
      <c r="B161" s="14"/>
      <c r="C161" s="14"/>
      <c r="D161" s="14"/>
      <c r="E161" s="14"/>
      <c r="F161" s="14"/>
      <c r="G161" s="14"/>
      <c r="I161" s="14"/>
      <c r="J161" s="14"/>
      <c r="K161" s="14"/>
      <c r="L161" s="14"/>
      <c r="N161" s="14"/>
      <c r="O161" s="14"/>
      <c r="Q161" s="14"/>
    </row>
    <row r="162" spans="1:22" outlineLevel="1" x14ac:dyDescent="0.35">
      <c r="A162" s="14"/>
      <c r="B162" s="14"/>
      <c r="C162" s="14"/>
      <c r="D162" s="14" t="s">
        <v>275</v>
      </c>
      <c r="E162" s="174">
        <f ca="1">E160/H133</f>
        <v>978.75854365977455</v>
      </c>
      <c r="F162" s="14"/>
      <c r="G162" s="14"/>
      <c r="I162" s="14" t="s">
        <v>275</v>
      </c>
      <c r="J162" s="14"/>
      <c r="K162" s="14"/>
      <c r="L162" s="174">
        <f>L156/H133</f>
        <v>1669.3</v>
      </c>
      <c r="N162" s="14"/>
      <c r="O162" s="14"/>
      <c r="Q162" s="14"/>
    </row>
    <row r="163" spans="1:22" outlineLevel="1" x14ac:dyDescent="0.35">
      <c r="A163" s="14"/>
      <c r="B163" s="14"/>
      <c r="C163" s="14"/>
      <c r="D163" s="14"/>
      <c r="E163" s="14"/>
      <c r="F163" s="14"/>
      <c r="G163" s="14"/>
      <c r="I163" s="14"/>
      <c r="J163" s="14"/>
      <c r="K163" s="14"/>
      <c r="L163" s="14"/>
      <c r="M163" s="14"/>
      <c r="N163" s="14"/>
      <c r="O163" s="14"/>
      <c r="P163" s="14"/>
      <c r="Q163" s="14"/>
    </row>
    <row r="164" spans="1:22" x14ac:dyDescent="0.35">
      <c r="A164" s="14"/>
      <c r="B164" s="14"/>
      <c r="C164" s="14"/>
      <c r="D164" s="14"/>
      <c r="E164" s="14"/>
      <c r="F164" s="14"/>
      <c r="G164" s="14"/>
      <c r="H164" s="14"/>
      <c r="I164" s="14"/>
      <c r="J164" s="14"/>
      <c r="K164" s="14"/>
      <c r="L164" s="14"/>
      <c r="M164" s="14"/>
      <c r="N164" s="14"/>
      <c r="O164" s="14"/>
      <c r="P164" s="14"/>
      <c r="Q164" s="14"/>
    </row>
    <row r="165" spans="1:22" x14ac:dyDescent="0.35">
      <c r="A165" s="14"/>
      <c r="B165" s="14"/>
      <c r="C165" s="14"/>
      <c r="D165" s="14"/>
      <c r="E165" s="14"/>
      <c r="F165" s="14"/>
      <c r="G165" s="14"/>
      <c r="H165" s="14"/>
      <c r="I165" s="14"/>
      <c r="J165" s="14"/>
      <c r="K165" s="14"/>
      <c r="L165" s="14"/>
      <c r="M165" s="14"/>
      <c r="N165" s="14"/>
      <c r="O165" s="14"/>
      <c r="P165" s="14"/>
      <c r="Q165" s="14"/>
    </row>
    <row r="166" spans="1:22" ht="26" x14ac:dyDescent="0.6">
      <c r="A166" s="449"/>
      <c r="B166" s="449" t="s">
        <v>445</v>
      </c>
      <c r="C166" s="449"/>
      <c r="D166" s="449"/>
      <c r="E166" s="449"/>
      <c r="F166" s="449"/>
      <c r="G166" s="449"/>
      <c r="H166" s="449"/>
      <c r="I166" s="449"/>
      <c r="J166" s="449"/>
      <c r="K166" s="449"/>
      <c r="L166" s="449"/>
      <c r="M166" s="449"/>
      <c r="N166" s="449"/>
      <c r="O166" s="449"/>
      <c r="P166" s="449"/>
      <c r="Q166" s="449"/>
      <c r="R166" s="450"/>
      <c r="S166" s="450"/>
      <c r="T166" s="450"/>
      <c r="U166" s="450"/>
      <c r="V166" s="450"/>
    </row>
    <row r="168" spans="1:22" ht="22.5" customHeight="1" x14ac:dyDescent="0.35">
      <c r="B168" s="463"/>
      <c r="C168" s="463"/>
      <c r="D168" s="463"/>
      <c r="E168" s="463"/>
      <c r="F168" s="463"/>
      <c r="H168" s="160"/>
      <c r="I168" s="582" t="s">
        <v>456</v>
      </c>
      <c r="J168" s="582"/>
      <c r="K168" s="582"/>
      <c r="L168" s="582"/>
      <c r="M168" s="582"/>
      <c r="N168" s="582"/>
      <c r="O168" s="582"/>
      <c r="P168" s="582"/>
    </row>
    <row r="169" spans="1:22" x14ac:dyDescent="0.35">
      <c r="B169" s="463"/>
      <c r="C169" s="463"/>
      <c r="D169" s="463"/>
      <c r="E169" s="463"/>
      <c r="F169" s="463"/>
    </row>
    <row r="170" spans="1:22" x14ac:dyDescent="0.35">
      <c r="B170" s="463"/>
      <c r="C170" s="463"/>
      <c r="D170" s="463"/>
      <c r="E170" s="463"/>
      <c r="F170" s="463"/>
    </row>
    <row r="171" spans="1:22" ht="18.5" x14ac:dyDescent="0.45">
      <c r="B171" s="463"/>
      <c r="C171" s="463"/>
      <c r="D171" s="463"/>
      <c r="E171" s="463"/>
      <c r="F171" s="463"/>
      <c r="J171" s="580" t="s">
        <v>457</v>
      </c>
      <c r="K171" s="580"/>
      <c r="L171" s="580"/>
      <c r="M171" s="580"/>
      <c r="N171" s="580"/>
      <c r="O171" s="580"/>
    </row>
    <row r="172" spans="1:22" ht="14.5" customHeight="1" x14ac:dyDescent="0.35">
      <c r="B172" s="463"/>
      <c r="C172" s="463"/>
      <c r="D172" s="463"/>
      <c r="E172" s="463"/>
      <c r="F172" s="463"/>
      <c r="H172" s="581" t="s">
        <v>248</v>
      </c>
      <c r="I172" s="477">
        <f ca="1">E162</f>
        <v>978.75854365977455</v>
      </c>
      <c r="J172" s="464">
        <v>15</v>
      </c>
      <c r="K172" s="465">
        <v>20</v>
      </c>
      <c r="L172" s="465">
        <v>41.487929259714072</v>
      </c>
      <c r="M172" s="465">
        <v>35</v>
      </c>
      <c r="N172" s="465">
        <v>38</v>
      </c>
    </row>
    <row r="173" spans="1:22" ht="26.5" customHeight="1" x14ac:dyDescent="0.35">
      <c r="B173" s="463"/>
      <c r="C173" s="463"/>
      <c r="D173" s="463"/>
      <c r="E173" s="463"/>
      <c r="F173" s="463"/>
      <c r="H173" s="581"/>
      <c r="I173" s="466">
        <v>0.09</v>
      </c>
      <c r="J173" s="467">
        <f t="dataTable" ref="J173:N177" dt2D="1" dtr="1" r1="H130" r2="H132" ca="1"/>
        <v>728.80491441171353</v>
      </c>
      <c r="K173" s="468">
        <v>836.94799976924958</v>
      </c>
      <c r="L173" s="468">
        <v>1301.70219338724</v>
      </c>
      <c r="M173" s="468">
        <v>1161.3772558418573</v>
      </c>
      <c r="N173" s="468">
        <v>1226.2631070563789</v>
      </c>
    </row>
    <row r="174" spans="1:22" ht="26.5" customHeight="1" x14ac:dyDescent="0.35">
      <c r="B174" s="463"/>
      <c r="C174" s="463"/>
      <c r="D174" s="463"/>
      <c r="E174" s="463"/>
      <c r="F174" s="463"/>
      <c r="H174" s="581"/>
      <c r="I174" s="466">
        <v>0.1</v>
      </c>
      <c r="J174" s="467">
        <v>625.12592002716394</v>
      </c>
      <c r="K174" s="469">
        <v>725.64477335180197</v>
      </c>
      <c r="L174" s="469">
        <v>1157.633175253281</v>
      </c>
      <c r="M174" s="469">
        <v>1027.2013333257157</v>
      </c>
      <c r="N174" s="468">
        <v>1087.5126453204987</v>
      </c>
    </row>
    <row r="175" spans="1:22" ht="26.5" customHeight="1" x14ac:dyDescent="0.35">
      <c r="B175" s="463"/>
      <c r="C175" s="463"/>
      <c r="D175" s="463"/>
      <c r="E175" s="463"/>
      <c r="F175" s="463"/>
      <c r="H175" s="581"/>
      <c r="I175" s="478">
        <v>0.11606734504340425</v>
      </c>
      <c r="J175" s="467">
        <v>504.61559968280523</v>
      </c>
      <c r="K175" s="469">
        <v>594.11730050056246</v>
      </c>
      <c r="L175" s="476">
        <v>978.75854365977455</v>
      </c>
      <c r="M175" s="469">
        <v>862.62240295383424</v>
      </c>
      <c r="N175" s="468">
        <v>916.32342344448853</v>
      </c>
    </row>
    <row r="176" spans="1:22" ht="26.5" customHeight="1" x14ac:dyDescent="0.35">
      <c r="B176" s="463"/>
      <c r="C176" s="463"/>
      <c r="D176" s="463"/>
      <c r="E176" s="463"/>
      <c r="F176" s="463"/>
      <c r="H176" s="581"/>
      <c r="I176" s="466">
        <v>0.12</v>
      </c>
      <c r="J176" s="467">
        <v>480.76111527669553</v>
      </c>
      <c r="K176" s="469">
        <v>567.77768260767118</v>
      </c>
      <c r="L176" s="469">
        <v>941.73885125390177</v>
      </c>
      <c r="M176" s="469">
        <v>828.82738460059818</v>
      </c>
      <c r="N176" s="468">
        <v>881.03732499918351</v>
      </c>
    </row>
    <row r="177" spans="2:15" ht="26.5" customHeight="1" x14ac:dyDescent="0.35">
      <c r="B177" s="463"/>
      <c r="C177" s="463"/>
      <c r="D177" s="463"/>
      <c r="E177" s="463"/>
      <c r="F177" s="463"/>
      <c r="H177" s="581"/>
      <c r="I177" s="466">
        <v>0.14000000000000001</v>
      </c>
      <c r="J177" s="467">
        <v>381.35124063363645</v>
      </c>
      <c r="K177" s="468">
        <v>456.87180001237681</v>
      </c>
      <c r="L177" s="468">
        <v>781.42788752925912</v>
      </c>
      <c r="M177" s="468">
        <v>683.43347814859817</v>
      </c>
      <c r="N177" s="468">
        <v>728.74581377584252</v>
      </c>
    </row>
    <row r="178" spans="2:15" x14ac:dyDescent="0.35">
      <c r="B178" s="463"/>
      <c r="C178" s="463"/>
      <c r="D178" s="463"/>
      <c r="E178" s="463"/>
      <c r="F178" s="463"/>
      <c r="H178" s="581"/>
    </row>
    <row r="179" spans="2:15" x14ac:dyDescent="0.35">
      <c r="B179" s="463"/>
      <c r="C179" s="463"/>
      <c r="D179" s="463"/>
      <c r="E179" s="463"/>
      <c r="F179" s="463"/>
      <c r="H179" s="581"/>
    </row>
    <row r="180" spans="2:15" x14ac:dyDescent="0.35">
      <c r="B180" s="463"/>
      <c r="C180" s="463"/>
      <c r="D180" s="463"/>
      <c r="E180" s="463"/>
      <c r="F180" s="463"/>
      <c r="H180" s="581"/>
    </row>
    <row r="181" spans="2:15" x14ac:dyDescent="0.35">
      <c r="B181" s="463"/>
      <c r="C181" s="463"/>
      <c r="D181" s="463"/>
      <c r="E181" s="463"/>
      <c r="F181" s="463"/>
      <c r="H181" s="581"/>
    </row>
    <row r="182" spans="2:15" x14ac:dyDescent="0.35">
      <c r="B182" s="463"/>
      <c r="C182" s="463"/>
      <c r="D182" s="463"/>
      <c r="E182" s="463"/>
      <c r="F182" s="463"/>
    </row>
    <row r="183" spans="2:15" x14ac:dyDescent="0.35">
      <c r="B183" s="463"/>
      <c r="C183" s="463"/>
      <c r="D183" s="463"/>
      <c r="E183" s="463"/>
      <c r="F183" s="463"/>
    </row>
    <row r="184" spans="2:15" x14ac:dyDescent="0.35">
      <c r="B184" s="463"/>
      <c r="C184" s="463"/>
      <c r="D184" s="463"/>
      <c r="E184" s="463"/>
      <c r="F184" s="463"/>
    </row>
    <row r="185" spans="2:15" x14ac:dyDescent="0.35">
      <c r="B185" s="463"/>
      <c r="C185" s="463"/>
      <c r="D185" s="463"/>
      <c r="E185" s="463"/>
      <c r="F185" s="463"/>
    </row>
    <row r="186" spans="2:15" ht="14.5" customHeight="1" x14ac:dyDescent="0.45">
      <c r="B186" s="463"/>
      <c r="C186" s="463"/>
      <c r="D186" s="463"/>
      <c r="E186" s="463"/>
      <c r="F186" s="463"/>
      <c r="J186" s="580" t="s">
        <v>247</v>
      </c>
      <c r="K186" s="580"/>
      <c r="L186" s="580"/>
      <c r="M186" s="580"/>
      <c r="N186" s="580"/>
      <c r="O186" s="580"/>
    </row>
    <row r="187" spans="2:15" x14ac:dyDescent="0.35">
      <c r="B187" s="463"/>
      <c r="C187" s="463"/>
      <c r="D187" s="463"/>
      <c r="E187" s="463"/>
      <c r="F187" s="463"/>
      <c r="H187" s="581" t="s">
        <v>248</v>
      </c>
      <c r="I187" s="479">
        <f ca="1">E162</f>
        <v>978.75854365977455</v>
      </c>
      <c r="J187" s="481">
        <v>0.03</v>
      </c>
      <c r="K187" s="482">
        <v>0.04</v>
      </c>
      <c r="L187" s="482">
        <v>0.04</v>
      </c>
      <c r="M187" s="482">
        <v>0.06</v>
      </c>
      <c r="N187" s="482">
        <v>7.0000000000000007E-2</v>
      </c>
    </row>
    <row r="188" spans="2:15" ht="19" customHeight="1" x14ac:dyDescent="0.35">
      <c r="B188" s="463"/>
      <c r="C188" s="463"/>
      <c r="D188" s="463"/>
      <c r="E188" s="463"/>
      <c r="F188" s="463"/>
      <c r="H188" s="581"/>
      <c r="I188" s="436">
        <v>0.09</v>
      </c>
      <c r="J188" s="483">
        <f t="dataTable" ref="J188:N192" dt2D="1" dtr="1" r1="H131" r2="H132" ca="1"/>
        <v>1247.0914989348641</v>
      </c>
      <c r="K188" s="484">
        <v>1301.70219338724</v>
      </c>
      <c r="L188" s="484">
        <v>1301.70219338724</v>
      </c>
      <c r="M188" s="484">
        <v>1520.1449711967439</v>
      </c>
      <c r="N188" s="484">
        <v>1793.1984434586236</v>
      </c>
    </row>
    <row r="189" spans="2:15" ht="19" customHeight="1" x14ac:dyDescent="0.35">
      <c r="B189" s="463"/>
      <c r="C189" s="463"/>
      <c r="D189" s="463"/>
      <c r="E189" s="463"/>
      <c r="F189" s="463"/>
      <c r="H189" s="581"/>
      <c r="I189" s="436">
        <v>0.1</v>
      </c>
      <c r="J189" s="483">
        <v>1121.0429889708819</v>
      </c>
      <c r="K189" s="486">
        <v>1157.633175253281</v>
      </c>
      <c r="L189" s="486">
        <v>1157.633175253281</v>
      </c>
      <c r="M189" s="486">
        <v>1285.6988272416786</v>
      </c>
      <c r="N189" s="484">
        <v>1413.7644792300764</v>
      </c>
    </row>
    <row r="190" spans="2:15" ht="19" customHeight="1" x14ac:dyDescent="0.35">
      <c r="B190" s="463"/>
      <c r="C190" s="463"/>
      <c r="D190" s="463"/>
      <c r="E190" s="463"/>
      <c r="F190" s="463"/>
      <c r="H190" s="581"/>
      <c r="I190" s="436">
        <v>0.11606734504340425</v>
      </c>
      <c r="J190" s="483">
        <v>957.55254522735106</v>
      </c>
      <c r="K190" s="486">
        <v>978.75854365977455</v>
      </c>
      <c r="L190" s="485">
        <v>978.75854365977455</v>
      </c>
      <c r="M190" s="486">
        <v>1043.8639622473809</v>
      </c>
      <c r="N190" s="484">
        <v>1097.6156635363591</v>
      </c>
    </row>
    <row r="191" spans="2:15" ht="19" customHeight="1" x14ac:dyDescent="0.35">
      <c r="B191" s="463"/>
      <c r="C191" s="463"/>
      <c r="D191" s="463"/>
      <c r="E191" s="463"/>
      <c r="F191" s="463"/>
      <c r="H191" s="581"/>
      <c r="I191" s="436">
        <v>0.12</v>
      </c>
      <c r="J191" s="483">
        <v>922.92571619348325</v>
      </c>
      <c r="K191" s="486">
        <v>941.73885125390177</v>
      </c>
      <c r="L191" s="486">
        <v>941.73885125390177</v>
      </c>
      <c r="M191" s="486">
        <v>998.17825643515687</v>
      </c>
      <c r="N191" s="484">
        <v>1043.3297805801615</v>
      </c>
    </row>
    <row r="192" spans="2:15" ht="19" customHeight="1" x14ac:dyDescent="0.35">
      <c r="B192" s="463"/>
      <c r="C192" s="463"/>
      <c r="D192" s="463"/>
      <c r="E192" s="463"/>
      <c r="F192" s="463"/>
      <c r="H192" s="581"/>
      <c r="I192" s="436">
        <v>0.14000000000000001</v>
      </c>
      <c r="J192" s="483">
        <v>770.54983718742596</v>
      </c>
      <c r="K192" s="484">
        <v>781.42788752925912</v>
      </c>
      <c r="L192" s="484">
        <v>781.42788752925912</v>
      </c>
      <c r="M192" s="484">
        <v>811.34252596930014</v>
      </c>
      <c r="N192" s="484">
        <v>832.71012485504389</v>
      </c>
    </row>
    <row r="193" spans="2:9" x14ac:dyDescent="0.35">
      <c r="B193" s="463"/>
      <c r="C193" s="463"/>
      <c r="D193" s="463"/>
      <c r="E193" s="463"/>
      <c r="F193" s="463"/>
      <c r="H193" s="581"/>
      <c r="I193" s="480"/>
    </row>
    <row r="194" spans="2:9" x14ac:dyDescent="0.35">
      <c r="B194" s="463"/>
      <c r="C194" s="463"/>
      <c r="D194" s="463"/>
      <c r="E194" s="463"/>
      <c r="F194" s="463"/>
      <c r="H194" s="581"/>
    </row>
    <row r="195" spans="2:9" x14ac:dyDescent="0.35">
      <c r="B195" s="463"/>
      <c r="C195" s="463"/>
      <c r="D195" s="463"/>
      <c r="E195" s="463"/>
      <c r="F195" s="463"/>
      <c r="H195" s="581"/>
    </row>
    <row r="196" spans="2:9" x14ac:dyDescent="0.35">
      <c r="B196" s="463"/>
      <c r="C196" s="463"/>
      <c r="D196" s="463"/>
      <c r="E196" s="463"/>
      <c r="F196" s="463"/>
      <c r="H196" s="581"/>
    </row>
  </sheetData>
  <mergeCells count="5">
    <mergeCell ref="J186:O186"/>
    <mergeCell ref="H187:H196"/>
    <mergeCell ref="I168:P168"/>
    <mergeCell ref="J171:O171"/>
    <mergeCell ref="H172:H181"/>
  </mergeCells>
  <pageMargins left="0.7" right="0.7" top="0.75" bottom="0.75" header="0.3" footer="0.3"/>
  <pageSetup orientation="portrait" r:id="rId1"/>
  <ignoredErrors>
    <ignoredError sqref="K138:X138 P12 S12 V12 P15 M15 S15 V15"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14:formula1>
            <xm:f>Scenarios!$D$5:$D$7</xm:f>
          </x14:formula1>
          <xm:sqref>E7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6"/>
  <sheetViews>
    <sheetView showGridLines="0" zoomScale="99" zoomScaleNormal="99" workbookViewId="0">
      <pane xSplit="2" ySplit="6" topLeftCell="C7" activePane="bottomRight" state="frozen"/>
      <selection pane="topRight" activeCell="C1" sqref="C1"/>
      <selection pane="bottomLeft" activeCell="A7" sqref="A7"/>
      <selection pane="bottomRight" activeCell="B10" sqref="B10:B11"/>
    </sheetView>
  </sheetViews>
  <sheetFormatPr defaultColWidth="8.81640625" defaultRowHeight="14.5" x14ac:dyDescent="0.35"/>
  <cols>
    <col min="2" max="2" width="29" customWidth="1"/>
    <col min="3" max="3" width="1.36328125" customWidth="1"/>
    <col min="4" max="18" width="12.36328125" customWidth="1"/>
    <col min="19" max="19" width="16.6328125" customWidth="1"/>
    <col min="21" max="21" width="222.36328125" customWidth="1"/>
  </cols>
  <sheetData>
    <row r="1" spans="1:22" ht="34.5" customHeight="1" x14ac:dyDescent="0.35">
      <c r="A1" s="431" t="str">
        <f>Model!A1</f>
        <v>Neogen Chemicals Limited</v>
      </c>
      <c r="B1" s="429"/>
      <c r="C1" s="429"/>
      <c r="D1" s="429"/>
      <c r="E1" s="241"/>
      <c r="F1" s="241"/>
      <c r="G1" s="160"/>
      <c r="H1" s="160"/>
      <c r="I1" s="160"/>
      <c r="J1" s="160"/>
      <c r="K1" s="160"/>
      <c r="L1" s="160"/>
      <c r="M1" s="160"/>
      <c r="N1" s="160"/>
      <c r="O1" s="160"/>
      <c r="P1" s="160"/>
      <c r="Q1" s="160"/>
      <c r="R1" s="160"/>
      <c r="S1" s="160"/>
    </row>
    <row r="2" spans="1:22" ht="18.5" x14ac:dyDescent="0.45">
      <c r="A2" s="441" t="s">
        <v>401</v>
      </c>
      <c r="B2" s="441"/>
      <c r="C2" s="441"/>
      <c r="D2" s="430"/>
      <c r="E2" s="430"/>
      <c r="F2" s="241"/>
      <c r="G2" s="160"/>
      <c r="H2" s="160"/>
      <c r="I2" s="160"/>
      <c r="J2" s="160"/>
      <c r="K2" s="160"/>
      <c r="L2" s="160"/>
      <c r="M2" s="160"/>
      <c r="N2" s="160"/>
      <c r="O2" s="160"/>
      <c r="P2" s="160"/>
      <c r="Q2" s="160"/>
      <c r="R2" s="160"/>
      <c r="S2" s="160"/>
    </row>
    <row r="4" spans="1:22" ht="18.5" x14ac:dyDescent="0.45">
      <c r="A4" s="583" t="s">
        <v>402</v>
      </c>
      <c r="B4" s="583"/>
      <c r="C4" s="583"/>
      <c r="D4" s="583"/>
      <c r="E4" s="583"/>
      <c r="F4" s="583"/>
      <c r="G4" s="583"/>
      <c r="H4" s="583"/>
      <c r="I4" s="583"/>
      <c r="J4" s="583"/>
      <c r="K4" s="583"/>
      <c r="L4" s="583"/>
      <c r="M4" s="583"/>
      <c r="N4" s="583"/>
      <c r="O4" s="583"/>
      <c r="P4" s="583"/>
      <c r="Q4" s="583"/>
      <c r="R4" s="583"/>
      <c r="S4" s="583"/>
    </row>
    <row r="5" spans="1:22" x14ac:dyDescent="0.35">
      <c r="B5" s="530" t="s">
        <v>404</v>
      </c>
      <c r="C5" s="491"/>
      <c r="D5" s="432">
        <v>2021</v>
      </c>
      <c r="E5" s="68">
        <f>D5+1</f>
        <v>2022</v>
      </c>
      <c r="F5" s="68">
        <f t="shared" ref="F5:R5" si="0">E5+1</f>
        <v>2023</v>
      </c>
      <c r="G5" s="68">
        <f t="shared" si="0"/>
        <v>2024</v>
      </c>
      <c r="H5" s="68">
        <f t="shared" si="0"/>
        <v>2025</v>
      </c>
      <c r="I5" s="437">
        <f t="shared" si="0"/>
        <v>2026</v>
      </c>
      <c r="J5" s="437">
        <f t="shared" si="0"/>
        <v>2027</v>
      </c>
      <c r="K5" s="437">
        <f t="shared" si="0"/>
        <v>2028</v>
      </c>
      <c r="L5" s="437">
        <f t="shared" si="0"/>
        <v>2029</v>
      </c>
      <c r="M5" s="437">
        <f t="shared" si="0"/>
        <v>2030</v>
      </c>
      <c r="N5" s="437">
        <f t="shared" si="0"/>
        <v>2031</v>
      </c>
      <c r="O5" s="437">
        <f t="shared" si="0"/>
        <v>2032</v>
      </c>
      <c r="P5" s="437">
        <f t="shared" si="0"/>
        <v>2033</v>
      </c>
      <c r="Q5" s="437">
        <f t="shared" si="0"/>
        <v>2034</v>
      </c>
      <c r="R5" s="437">
        <f t="shared" si="0"/>
        <v>2035</v>
      </c>
      <c r="S5" s="532" t="s">
        <v>405</v>
      </c>
      <c r="U5" s="584" t="s">
        <v>403</v>
      </c>
      <c r="V5" s="435"/>
    </row>
    <row r="6" spans="1:22" x14ac:dyDescent="0.35">
      <c r="B6" s="531"/>
      <c r="C6" s="492"/>
      <c r="D6" s="433" t="s">
        <v>406</v>
      </c>
      <c r="E6" s="434" t="s">
        <v>406</v>
      </c>
      <c r="F6" s="434" t="s">
        <v>406</v>
      </c>
      <c r="G6" s="434" t="s">
        <v>406</v>
      </c>
      <c r="H6" s="434" t="s">
        <v>406</v>
      </c>
      <c r="I6" s="438" t="s">
        <v>282</v>
      </c>
      <c r="J6" s="438" t="s">
        <v>282</v>
      </c>
      <c r="K6" s="438" t="s">
        <v>282</v>
      </c>
      <c r="L6" s="438" t="s">
        <v>282</v>
      </c>
      <c r="M6" s="438" t="s">
        <v>282</v>
      </c>
      <c r="N6" s="438" t="s">
        <v>282</v>
      </c>
      <c r="O6" s="438" t="s">
        <v>282</v>
      </c>
      <c r="P6" s="438" t="s">
        <v>282</v>
      </c>
      <c r="Q6" s="438" t="s">
        <v>282</v>
      </c>
      <c r="R6" s="438" t="s">
        <v>282</v>
      </c>
      <c r="S6" s="533"/>
      <c r="U6" s="584"/>
      <c r="V6" s="435"/>
    </row>
    <row r="7" spans="1:22" x14ac:dyDescent="0.35">
      <c r="B7" s="427"/>
      <c r="C7" s="493"/>
      <c r="I7" s="439"/>
      <c r="J7" s="439"/>
      <c r="K7" s="439"/>
      <c r="L7" s="439"/>
      <c r="M7" s="439"/>
      <c r="N7" s="439"/>
      <c r="O7" s="439"/>
      <c r="P7" s="439"/>
      <c r="Q7" s="439"/>
      <c r="R7" s="439"/>
      <c r="S7" s="439"/>
    </row>
    <row r="8" spans="1:22" x14ac:dyDescent="0.35">
      <c r="B8" s="452" t="s">
        <v>407</v>
      </c>
      <c r="C8" s="494"/>
      <c r="I8" s="439"/>
      <c r="J8" s="439"/>
      <c r="K8" s="439"/>
      <c r="L8" s="439"/>
      <c r="M8" s="439"/>
      <c r="N8" s="439"/>
      <c r="O8" s="439"/>
      <c r="P8" s="439"/>
      <c r="Q8" s="439"/>
      <c r="R8" s="439"/>
      <c r="S8" s="439"/>
      <c r="U8" s="19"/>
    </row>
    <row r="9" spans="1:22" ht="51" customHeight="1" x14ac:dyDescent="0.35">
      <c r="B9" s="428" t="s">
        <v>408</v>
      </c>
      <c r="C9" s="495"/>
      <c r="D9" s="518">
        <f>Model!H26/Model!H24</f>
        <v>0.41253232662524902</v>
      </c>
      <c r="E9" s="518">
        <f>Model!I26/Model!I24</f>
        <v>0.43566957414058499</v>
      </c>
      <c r="F9" s="518">
        <f>Model!J26/Model!J24</f>
        <v>0.4338074557696231</v>
      </c>
      <c r="G9" s="518">
        <f>Model!K26/Model!K24</f>
        <v>0.44620441021037538</v>
      </c>
      <c r="H9" s="518">
        <f>Model!L26/Model!L24</f>
        <v>0.45591337002932247</v>
      </c>
      <c r="I9" s="519">
        <f>Model!M26/Model!M24</f>
        <v>0.43682542735503088</v>
      </c>
      <c r="J9" s="519">
        <f>Model!N26/Model!N24</f>
        <v>0.43682542735503094</v>
      </c>
      <c r="K9" s="519">
        <f>Model!O26/Model!O24</f>
        <v>0.43682542735503099</v>
      </c>
      <c r="L9" s="519">
        <f>Model!P26/Model!P24</f>
        <v>0.43682542735503099</v>
      </c>
      <c r="M9" s="519">
        <f>Model!Q26/Model!Q24</f>
        <v>0.43682542735503088</v>
      </c>
      <c r="N9" s="519">
        <f>Model!R26/Model!R24</f>
        <v>0.43682542735503094</v>
      </c>
      <c r="O9" s="519">
        <f>Model!S26/Model!S24</f>
        <v>0.43682542735503099</v>
      </c>
      <c r="P9" s="519">
        <f>Model!T26/Model!T24</f>
        <v>0.43682542735503099</v>
      </c>
      <c r="Q9" s="519">
        <f>Model!U26/Model!U24</f>
        <v>0.43682542735503094</v>
      </c>
      <c r="R9" s="519">
        <f>Model!V26/Model!V24</f>
        <v>0.43682542735503094</v>
      </c>
      <c r="S9" s="439"/>
      <c r="U9" s="500" t="s">
        <v>497</v>
      </c>
    </row>
    <row r="10" spans="1:22" ht="51" customHeight="1" x14ac:dyDescent="0.35">
      <c r="B10" s="507" t="s">
        <v>409</v>
      </c>
      <c r="C10" s="495"/>
      <c r="D10" s="518">
        <f>Model!H30/Model!H24</f>
        <v>0.19131417020897132</v>
      </c>
      <c r="E10" s="518">
        <f>Model!I30/Model!I24</f>
        <v>0.17771164699846081</v>
      </c>
      <c r="F10" s="518">
        <f>Model!J30/Model!J24</f>
        <v>0.1626686875163951</v>
      </c>
      <c r="G10" s="518">
        <f>Model!K30/Model!K24</f>
        <v>0.15933803408284702</v>
      </c>
      <c r="H10" s="518">
        <f>Model!L30/Model!L24</f>
        <v>0.17531766037347596</v>
      </c>
      <c r="I10" s="519">
        <f>Model!M30/Model!M24</f>
        <v>0.17327003983602993</v>
      </c>
      <c r="J10" s="519">
        <f>Model!N30/Model!N24</f>
        <v>0.1732700398360299</v>
      </c>
      <c r="K10" s="519">
        <f>Model!O30/Model!O24</f>
        <v>0.17327003983603007</v>
      </c>
      <c r="L10" s="519">
        <f>Model!P30/Model!P24</f>
        <v>0.17327003983603001</v>
      </c>
      <c r="M10" s="519">
        <f>Model!Q30/Model!Q24</f>
        <v>0.17327003983602993</v>
      </c>
      <c r="N10" s="519">
        <f>Model!R30/Model!R24</f>
        <v>0.17327003983602998</v>
      </c>
      <c r="O10" s="519">
        <f>Model!S30/Model!S24</f>
        <v>0.17327003983603001</v>
      </c>
      <c r="P10" s="519">
        <f>Model!T30/Model!T24</f>
        <v>0.17327003983603004</v>
      </c>
      <c r="Q10" s="519">
        <f>Model!U30/Model!U24</f>
        <v>0.17327003983602998</v>
      </c>
      <c r="R10" s="519">
        <f>Model!V30/Model!V24</f>
        <v>0.17327003983602995</v>
      </c>
      <c r="S10" s="439"/>
      <c r="U10" s="500" t="s">
        <v>498</v>
      </c>
    </row>
    <row r="11" spans="1:22" ht="51" customHeight="1" x14ac:dyDescent="0.35">
      <c r="B11" s="507" t="s">
        <v>410</v>
      </c>
      <c r="C11" s="495"/>
      <c r="D11" s="518">
        <f>Model!H32/Model!H24</f>
        <v>0.17080348384411889</v>
      </c>
      <c r="E11" s="518">
        <f>Model!I32/Model!I24</f>
        <v>0.15371985633658294</v>
      </c>
      <c r="F11" s="518">
        <f>Model!J32/Model!J24</f>
        <v>0.13905972193884983</v>
      </c>
      <c r="G11" s="518">
        <f>Model!K32/Model!K24</f>
        <v>0.12622525953060065</v>
      </c>
      <c r="H11" s="518">
        <f>Model!L32/Model!L24</f>
        <v>0.1395776531714594</v>
      </c>
      <c r="I11" s="519">
        <f>Model!M32/Model!M24</f>
        <v>0.14589259548140676</v>
      </c>
      <c r="J11" s="519">
        <f>Model!N32/Model!N24</f>
        <v>0.14407374689978139</v>
      </c>
      <c r="K11" s="519">
        <f>Model!O32/Model!O24</f>
        <v>0.1426041549629426</v>
      </c>
      <c r="L11" s="519">
        <f>Model!P32/Model!P24</f>
        <v>0.13750536566567551</v>
      </c>
      <c r="M11" s="519">
        <f>Model!Q32/Model!Q24</f>
        <v>0.13659296392986972</v>
      </c>
      <c r="N11" s="519">
        <f>Model!R32/Model!R24</f>
        <v>0.13587463711179087</v>
      </c>
      <c r="O11" s="519">
        <f>Model!S32/Model!S24</f>
        <v>0.13116246980678223</v>
      </c>
      <c r="P11" s="519">
        <f>Model!T32/Model!T24</f>
        <v>0.13087776137298796</v>
      </c>
      <c r="Q11" s="519">
        <f>Model!U32/Model!U24</f>
        <v>0.13068859643924377</v>
      </c>
      <c r="R11" s="519">
        <f>Model!V32/Model!V24</f>
        <v>0.12636722694299571</v>
      </c>
      <c r="S11" s="439"/>
      <c r="U11" s="500" t="s">
        <v>499</v>
      </c>
    </row>
    <row r="12" spans="1:22" ht="64" customHeight="1" x14ac:dyDescent="0.35">
      <c r="B12" s="507" t="s">
        <v>411</v>
      </c>
      <c r="C12" s="495"/>
      <c r="D12" s="518">
        <f>Model!H35/Model!H24</f>
        <v>0.13141702089711971</v>
      </c>
      <c r="E12" s="518">
        <f>Model!I35/Model!I24</f>
        <v>0.1171267316572602</v>
      </c>
      <c r="F12" s="518">
        <f>Model!J35/Model!J24</f>
        <v>0.1035151126526567</v>
      </c>
      <c r="G12" s="518">
        <f>Model!K35/Model!K24</f>
        <v>7.6404071408921692E-2</v>
      </c>
      <c r="H12" s="518">
        <f>Model!L35/Model!L24</f>
        <v>6.4509491228972649E-2</v>
      </c>
      <c r="I12" s="519">
        <f>Model!M35/Model!M24</f>
        <v>7.1112786625334851E-2</v>
      </c>
      <c r="J12" s="519">
        <f>Model!N35/Model!N24</f>
        <v>7.4336804408036361E-2</v>
      </c>
      <c r="K12" s="519">
        <f>Model!O35/Model!O24</f>
        <v>7.7331388629896955E-2</v>
      </c>
      <c r="L12" s="519">
        <f>Model!P35/Model!P24</f>
        <v>7.6198352540442271E-2</v>
      </c>
      <c r="M12" s="519">
        <f>Model!Q35/Model!Q24</f>
        <v>7.8820582612426096E-2</v>
      </c>
      <c r="N12" s="519">
        <f>Model!R35/Model!R24</f>
        <v>8.126245965112304E-2</v>
      </c>
      <c r="O12" s="519">
        <f>Model!S35/Model!S24</f>
        <v>7.9384039799993381E-2</v>
      </c>
      <c r="P12" s="519">
        <f>Model!T35/Model!T24</f>
        <v>8.1647388897597553E-2</v>
      </c>
      <c r="Q12" s="519">
        <f>Model!U35/Model!U24</f>
        <v>8.3755378844988848E-2</v>
      </c>
      <c r="R12" s="519">
        <f>Model!V35/Model!V24</f>
        <v>8.1510065096332629E-2</v>
      </c>
      <c r="S12" s="439"/>
      <c r="U12" s="500" t="s">
        <v>500</v>
      </c>
    </row>
    <row r="13" spans="1:22" ht="51" customHeight="1" x14ac:dyDescent="0.35">
      <c r="B13" s="507" t="s">
        <v>412</v>
      </c>
      <c r="C13" s="495"/>
      <c r="D13" s="518">
        <f>-Model!H36/Model!H35</f>
        <v>0.29133680162859049</v>
      </c>
      <c r="E13" s="518">
        <f>-Model!I36/Model!I35</f>
        <v>0.21797792185035905</v>
      </c>
      <c r="F13" s="518">
        <f>-Model!J36/Model!J35</f>
        <v>0.29649443896944966</v>
      </c>
      <c r="G13" s="518">
        <f>-Model!K36/Model!K35</f>
        <v>0.32442675762744017</v>
      </c>
      <c r="H13" s="518">
        <f>-Model!L36/Model!L35</f>
        <v>0.30562200956937813</v>
      </c>
      <c r="I13" s="519">
        <f>-Model!M36/Model!M35</f>
        <v>0.30762200956937813</v>
      </c>
      <c r="J13" s="519">
        <f>-Model!N36/Model!N35</f>
        <v>0.30762200956937813</v>
      </c>
      <c r="K13" s="519">
        <f>-Model!O36/Model!O35</f>
        <v>0.30762200956937813</v>
      </c>
      <c r="L13" s="519">
        <f>-Model!P36/Model!P35</f>
        <v>0.30962200956937813</v>
      </c>
      <c r="M13" s="519">
        <f>-Model!Q36/Model!Q35</f>
        <v>0.30962200956937813</v>
      </c>
      <c r="N13" s="519">
        <f>-Model!R36/Model!R35</f>
        <v>0.30962200956937813</v>
      </c>
      <c r="O13" s="519">
        <f>-Model!S36/Model!S35</f>
        <v>0.31162200956937813</v>
      </c>
      <c r="P13" s="519">
        <f>-Model!T36/Model!T35</f>
        <v>0.31162200956937813</v>
      </c>
      <c r="Q13" s="519">
        <f>-Model!U36/Model!U35</f>
        <v>0.31162200956937813</v>
      </c>
      <c r="R13" s="519">
        <f>-Model!V36/Model!V35</f>
        <v>0.31362200956937814</v>
      </c>
      <c r="S13" s="439"/>
      <c r="U13" s="529" t="s">
        <v>501</v>
      </c>
    </row>
    <row r="14" spans="1:22" ht="55" customHeight="1" x14ac:dyDescent="0.35">
      <c r="B14" s="507" t="s">
        <v>413</v>
      </c>
      <c r="C14" s="495"/>
      <c r="D14" s="518">
        <f>Model!H37/Model!H24</f>
        <v>9.3130406349395206E-2</v>
      </c>
      <c r="E14" s="518">
        <f>Model!I37/Model!I24</f>
        <v>9.1595690097485971E-2</v>
      </c>
      <c r="F14" s="518">
        <f>Model!J37/Model!J24</f>
        <v>7.2823457401847869E-2</v>
      </c>
      <c r="G14" s="518">
        <f>Model!K37/Model!K24</f>
        <v>5.1616546252189831E-2</v>
      </c>
      <c r="H14" s="518">
        <f>Model!L37/Model!L24</f>
        <v>4.4793970883275851E-2</v>
      </c>
      <c r="I14" s="519">
        <f>Model!M37/Model!M24</f>
        <v>4.9236928297570946E-2</v>
      </c>
      <c r="J14" s="519">
        <f>Model!N37/Model!N24</f>
        <v>5.1469167251070411E-2</v>
      </c>
      <c r="K14" s="519">
        <f>Model!O37/Model!O24</f>
        <v>5.3542551456777492E-2</v>
      </c>
      <c r="L14" s="519">
        <f>Model!P37/Model!P24</f>
        <v>5.260566550099461E-2</v>
      </c>
      <c r="M14" s="519">
        <f>Model!Q37/Model!Q24</f>
        <v>5.4415995428537541E-2</v>
      </c>
      <c r="N14" s="519">
        <f>Model!R37/Model!R24</f>
        <v>5.6101813591391818E-2</v>
      </c>
      <c r="O14" s="519">
        <f>Model!S37/Model!S24</f>
        <v>5.4646225789783946E-2</v>
      </c>
      <c r="P14" s="519">
        <f>Model!T37/Model!T24</f>
        <v>5.6204265493235664E-2</v>
      </c>
      <c r="Q14" s="519">
        <f>Model!U37/Model!U24</f>
        <v>5.7655359377068852E-2</v>
      </c>
      <c r="R14" s="519">
        <f>Model!V37/Model!V24</f>
        <v>5.5946714680689971E-2</v>
      </c>
      <c r="S14" s="439"/>
      <c r="U14" s="500" t="s">
        <v>502</v>
      </c>
    </row>
    <row r="15" spans="1:22" ht="8.5" customHeight="1" x14ac:dyDescent="0.35">
      <c r="B15" s="507"/>
      <c r="C15" s="495"/>
      <c r="D15" s="518"/>
      <c r="E15" s="518"/>
      <c r="F15" s="518"/>
      <c r="G15" s="518"/>
      <c r="H15" s="518"/>
      <c r="I15" s="519"/>
      <c r="J15" s="519"/>
      <c r="K15" s="519"/>
      <c r="L15" s="519"/>
      <c r="M15" s="519"/>
      <c r="N15" s="519"/>
      <c r="O15" s="519"/>
      <c r="P15" s="519"/>
      <c r="Q15" s="519"/>
      <c r="R15" s="519"/>
      <c r="S15" s="439"/>
      <c r="U15" s="500"/>
    </row>
    <row r="16" spans="1:22" ht="17.5" customHeight="1" x14ac:dyDescent="0.35">
      <c r="B16" s="546" t="s">
        <v>414</v>
      </c>
      <c r="C16" s="496"/>
      <c r="D16" s="518"/>
      <c r="E16" s="518"/>
      <c r="F16" s="518"/>
      <c r="G16" s="518"/>
      <c r="H16" s="518"/>
      <c r="I16" s="519"/>
      <c r="J16" s="519"/>
      <c r="K16" s="519"/>
      <c r="L16" s="519"/>
      <c r="M16" s="519"/>
      <c r="N16" s="519"/>
      <c r="O16" s="519"/>
      <c r="P16" s="519"/>
      <c r="Q16" s="519"/>
      <c r="R16" s="519"/>
      <c r="S16" s="439"/>
      <c r="U16" s="500"/>
    </row>
    <row r="17" spans="2:21" ht="48.5" customHeight="1" x14ac:dyDescent="0.35">
      <c r="B17" s="507" t="s">
        <v>415</v>
      </c>
      <c r="C17" s="495"/>
      <c r="D17" s="520"/>
      <c r="E17" s="518">
        <f>Model!I24/AVERAGE(Model!H52:I52)</f>
        <v>0.75471259738851626</v>
      </c>
      <c r="F17" s="518">
        <f>Model!J24/AVERAGE(Model!I52:J52)</f>
        <v>0.74059123827614848</v>
      </c>
      <c r="G17" s="518">
        <f>Model!K24/AVERAGE(Model!J52:K52)</f>
        <v>0.54919688295165381</v>
      </c>
      <c r="H17" s="518">
        <f>Model!L24/AVERAGE(Model!K52:L52)</f>
        <v>0.48465582741974184</v>
      </c>
      <c r="I17" s="519">
        <f>Model!M24/AVERAGE(Model!L52:M52)</f>
        <v>0.48055155464469113</v>
      </c>
      <c r="J17" s="519">
        <f>Model!N24/AVERAGE(Model!M52:N52)</f>
        <v>0.50928805038719038</v>
      </c>
      <c r="K17" s="519">
        <f>Model!O24/AVERAGE(Model!N52:O52)</f>
        <v>0.52463242488353579</v>
      </c>
      <c r="L17" s="519">
        <f>Model!P24/AVERAGE(Model!O52:P52)</f>
        <v>0.53819631787348199</v>
      </c>
      <c r="M17" s="519">
        <f>Model!Q24/AVERAGE(Model!P52:Q52)</f>
        <v>0.54999113819152368</v>
      </c>
      <c r="N17" s="519">
        <f>Model!R24/AVERAGE(Model!Q52:R52)</f>
        <v>0.55971180865940984</v>
      </c>
      <c r="O17" s="519">
        <f>Model!S24/AVERAGE(Model!R52:S52)</f>
        <v>0.56783377901894172</v>
      </c>
      <c r="P17" s="519">
        <f>Model!T24/AVERAGE(Model!S52:T52)</f>
        <v>0.5744230521659458</v>
      </c>
      <c r="Q17" s="519">
        <f>Model!U24/AVERAGE(Model!T52:U52)</f>
        <v>0.5791639104856261</v>
      </c>
      <c r="R17" s="519">
        <f>Model!V24/AVERAGE(Model!U52:V52)</f>
        <v>0.58261175073321703</v>
      </c>
      <c r="S17" s="439"/>
      <c r="U17" s="500" t="s">
        <v>503</v>
      </c>
    </row>
    <row r="18" spans="2:21" ht="50.5" customHeight="1" x14ac:dyDescent="0.35">
      <c r="B18" s="507" t="s">
        <v>416</v>
      </c>
      <c r="C18" s="495"/>
      <c r="D18" s="518"/>
      <c r="E18" s="518">
        <f>Model!I35/AVERAGE(Model!H52:I52)</f>
        <v>8.8397019872678603E-2</v>
      </c>
      <c r="F18" s="518">
        <f>Model!J35/AVERAGE(Model!I52:J52)</f>
        <v>7.6662385459726035E-2</v>
      </c>
      <c r="G18" s="518">
        <f>Model!K35/AVERAGE(Model!J52:K52)</f>
        <v>4.1960877862595371E-2</v>
      </c>
      <c r="H18" s="518">
        <f>Model!L35/AVERAGE(Model!K52:L52)</f>
        <v>3.1264900848004318E-2</v>
      </c>
      <c r="I18" s="519">
        <f>Model!M35/AVERAGE(Model!L52:M52)</f>
        <v>3.4173360167920858E-2</v>
      </c>
      <c r="J18" s="519">
        <f>Model!N35/AVERAGE(Model!M52:N52)</f>
        <v>3.7858846188982741E-2</v>
      </c>
      <c r="K18" s="519">
        <f>Model!O35/AVERAGE(Model!N52:O52)</f>
        <v>4.0570553936513924E-2</v>
      </c>
      <c r="L18" s="519">
        <f>Model!P35/AVERAGE(Model!O52:P52)</f>
        <v>4.1009672765291508E-2</v>
      </c>
      <c r="M18" s="519">
        <f>Model!Q35/AVERAGE(Model!P52:Q52)</f>
        <v>4.3350621943927248E-2</v>
      </c>
      <c r="N18" s="519">
        <f>Model!R35/AVERAGE(Model!Q52:R52)</f>
        <v>4.5483558267442395E-2</v>
      </c>
      <c r="O18" s="519">
        <f>Model!S35/AVERAGE(Model!R52:S52)</f>
        <v>4.5076939313420314E-2</v>
      </c>
      <c r="P18" s="519">
        <f>Model!T35/AVERAGE(Model!S52:T52)</f>
        <v>4.6900142331937934E-2</v>
      </c>
      <c r="Q18" s="519">
        <f>Model!U35/AVERAGE(Model!T52:U52)</f>
        <v>4.8508092736068827E-2</v>
      </c>
      <c r="R18" s="519">
        <f>Model!V35/AVERAGE(Model!U52:V52)</f>
        <v>4.7488721728152841E-2</v>
      </c>
      <c r="S18" s="439"/>
      <c r="U18" s="504" t="s">
        <v>504</v>
      </c>
    </row>
    <row r="19" spans="2:21" ht="69.5" customHeight="1" x14ac:dyDescent="0.35">
      <c r="B19" s="507" t="s">
        <v>417</v>
      </c>
      <c r="C19" s="495"/>
      <c r="D19" s="518"/>
      <c r="E19" s="518">
        <f>Model!I35/AVERAGE(Model!H65:I65)</f>
        <v>0.18343109682603467</v>
      </c>
      <c r="F19" s="518">
        <f>Model!J35/AVERAGE(Model!I65:J65)</f>
        <v>0.15411820864433251</v>
      </c>
      <c r="G19" s="518">
        <f>Model!K35/AVERAGE(Model!J65:K65)</f>
        <v>8.4920462500301649E-2</v>
      </c>
      <c r="H19" s="518">
        <f>Model!L35/AVERAGE(Model!K65:L65)</f>
        <v>6.4735945485519558E-2</v>
      </c>
      <c r="I19" s="519">
        <f>Model!M35/AVERAGE(Model!L65:M65)</f>
        <v>7.3338741105410221E-2</v>
      </c>
      <c r="J19" s="519">
        <f>Model!N35/AVERAGE(Model!M65:N65)</f>
        <v>7.8155282891025579E-2</v>
      </c>
      <c r="K19" s="519">
        <f>Model!O35/AVERAGE(Model!N65:O65)</f>
        <v>8.2360483278717686E-2</v>
      </c>
      <c r="L19" s="519">
        <f>Model!P35/AVERAGE(Model!O65:P65)</f>
        <v>8.1841244767669449E-2</v>
      </c>
      <c r="M19" s="519">
        <f>Model!Q35/AVERAGE(Model!P65:Q65)</f>
        <v>8.5030479735881834E-2</v>
      </c>
      <c r="N19" s="519">
        <f>Model!R35/AVERAGE(Model!Q65:R65)</f>
        <v>8.7628857572397134E-2</v>
      </c>
      <c r="O19" s="519">
        <f>Model!S35/AVERAGE(Model!R65:S65)</f>
        <v>8.5319570022055952E-2</v>
      </c>
      <c r="P19" s="519">
        <f>Model!T35/AVERAGE(Model!S65:T65)</f>
        <v>8.7233252828231411E-2</v>
      </c>
      <c r="Q19" s="519">
        <f>Model!U35/AVERAGE(Model!T65:U65)</f>
        <v>8.8638999879935773E-2</v>
      </c>
      <c r="R19" s="519">
        <f>Model!V35/AVERAGE(Model!U65:V65)</f>
        <v>8.5294521656186242E-2</v>
      </c>
      <c r="S19" s="439"/>
      <c r="U19" s="500" t="s">
        <v>505</v>
      </c>
    </row>
    <row r="20" spans="2:21" ht="58.5" customHeight="1" x14ac:dyDescent="0.35">
      <c r="B20" s="507" t="s">
        <v>418</v>
      </c>
      <c r="C20" s="495"/>
      <c r="D20" s="521">
        <f>1-Model!H15</f>
        <v>0.70866319837140956</v>
      </c>
      <c r="E20" s="521">
        <f>1-Model!I15</f>
        <v>0.78202207814964098</v>
      </c>
      <c r="F20" s="521">
        <f>1-Model!J15</f>
        <v>0.70350556103055029</v>
      </c>
      <c r="G20" s="521">
        <f>1-Model!K15</f>
        <v>0.67557324237255978</v>
      </c>
      <c r="H20" s="521">
        <f>1-Model!L15</f>
        <v>0.69437799043062187</v>
      </c>
      <c r="I20" s="522">
        <f>1-Model!M15</f>
        <v>0.69237799043062187</v>
      </c>
      <c r="J20" s="522">
        <f>1-Model!N15</f>
        <v>0.69237799043062187</v>
      </c>
      <c r="K20" s="522">
        <f>1-Model!O15</f>
        <v>0.69237799043062187</v>
      </c>
      <c r="L20" s="522">
        <f>1-Model!P15</f>
        <v>0.69037799043062187</v>
      </c>
      <c r="M20" s="522">
        <f>1-Model!Q15</f>
        <v>0.69037799043062187</v>
      </c>
      <c r="N20" s="522">
        <f>1-Model!R15</f>
        <v>0.69037799043062187</v>
      </c>
      <c r="O20" s="522">
        <f>1-Model!S15</f>
        <v>0.68837799043062187</v>
      </c>
      <c r="P20" s="522">
        <f>1-Model!T15</f>
        <v>0.68837799043062187</v>
      </c>
      <c r="Q20" s="522">
        <f>1-Model!U15</f>
        <v>0.68837799043062187</v>
      </c>
      <c r="R20" s="522">
        <f>1-Model!V15</f>
        <v>0.68637799043062186</v>
      </c>
      <c r="S20" s="439"/>
      <c r="U20" s="500" t="s">
        <v>506</v>
      </c>
    </row>
    <row r="21" spans="2:21" ht="58.5" customHeight="1" x14ac:dyDescent="0.35">
      <c r="B21" s="507" t="s">
        <v>419</v>
      </c>
      <c r="C21" s="495"/>
      <c r="D21" s="518"/>
      <c r="E21" s="518">
        <f>Model!I37/AVERAGE(Model!H65:I65)</f>
        <v>0.14344716753716363</v>
      </c>
      <c r="F21" s="518">
        <f>Model!J37/AVERAGE(Model!I65:J65)</f>
        <v>0.10842301683735456</v>
      </c>
      <c r="G21" s="518">
        <f>Model!K37/AVERAGE(Model!J65:K65)</f>
        <v>5.7369992195106169E-2</v>
      </c>
      <c r="H21" s="518">
        <f>Model!L37/AVERAGE(Model!K65:L65)</f>
        <v>4.4951215734861355E-2</v>
      </c>
      <c r="I21" s="519">
        <f>Model!M37/AVERAGE(Model!L65:M65)</f>
        <v>5.0778130187275568E-2</v>
      </c>
      <c r="J21" s="519">
        <f>Model!N37/AVERAGE(Model!M65:N65)</f>
        <v>5.4112997709625056E-2</v>
      </c>
      <c r="K21" s="519">
        <f>Model!O37/AVERAGE(Model!N65:O65)</f>
        <v>5.7024585903413381E-2</v>
      </c>
      <c r="L21" s="519">
        <f>Model!P37/AVERAGE(Model!O65:P65)</f>
        <v>5.6501394097044286E-2</v>
      </c>
      <c r="M21" s="519">
        <f>Model!Q37/AVERAGE(Model!P65:Q65)</f>
        <v>5.8703171725409814E-2</v>
      </c>
      <c r="N21" s="519">
        <f>Model!R37/AVERAGE(Model!Q65:R65)</f>
        <v>6.0497034594562717E-2</v>
      </c>
      <c r="O21" s="519">
        <f>Model!S37/AVERAGE(Model!R65:S65)</f>
        <v>5.87321141561876E-2</v>
      </c>
      <c r="P21" s="519">
        <f>Model!T37/AVERAGE(Model!S65:T65)</f>
        <v>6.0049451280624298E-2</v>
      </c>
      <c r="Q21" s="519">
        <f>Model!U37/AVERAGE(Model!T65:U65)</f>
        <v>6.1017136611130326E-2</v>
      </c>
      <c r="R21" s="519">
        <f>Model!V37/AVERAGE(Model!U65:V65)</f>
        <v>5.8544282369114277E-2</v>
      </c>
      <c r="S21" s="439"/>
      <c r="U21" s="500" t="s">
        <v>507</v>
      </c>
    </row>
    <row r="22" spans="2:21" s="90" customFormat="1" ht="58.5" customHeight="1" x14ac:dyDescent="0.35">
      <c r="B22" s="547" t="s">
        <v>420</v>
      </c>
      <c r="C22" s="497"/>
      <c r="D22" s="521">
        <f>1-Model!H16</f>
        <v>0.85094158953080135</v>
      </c>
      <c r="E22" s="521">
        <f>1-Model!I16</f>
        <v>0.88236612144297566</v>
      </c>
      <c r="F22" s="521">
        <f>1-Model!J16</f>
        <v>0.86271763057834694</v>
      </c>
      <c r="G22" s="521">
        <f>1-Model!K16</f>
        <v>0.79018232819074297</v>
      </c>
      <c r="H22" s="521">
        <f>1-Model!L16</f>
        <v>0.84840654608096455</v>
      </c>
      <c r="I22" s="522">
        <f>1-Model!M16</f>
        <v>0.84692284316476629</v>
      </c>
      <c r="J22" s="522">
        <f>1-Model!N16</f>
        <v>0.84692284316476629</v>
      </c>
      <c r="K22" s="522">
        <f>1-Model!O16</f>
        <v>0.84692284316476629</v>
      </c>
      <c r="L22" s="522">
        <f>1-Model!P16</f>
        <v>0.84692284316476629</v>
      </c>
      <c r="M22" s="522">
        <f>1-Model!Q16</f>
        <v>0.84692284316476629</v>
      </c>
      <c r="N22" s="522">
        <f>1-Model!R16</f>
        <v>0.84692284316476629</v>
      </c>
      <c r="O22" s="522">
        <f>1-Model!S16</f>
        <v>0.84692284316476629</v>
      </c>
      <c r="P22" s="522">
        <f>1-Model!T16</f>
        <v>0.84692284316476629</v>
      </c>
      <c r="Q22" s="522">
        <f>1-Model!U16</f>
        <v>0.84692284316476629</v>
      </c>
      <c r="R22" s="522">
        <f>1-Model!V16</f>
        <v>0.84692284316476629</v>
      </c>
      <c r="S22" s="439"/>
      <c r="U22" s="501" t="s">
        <v>508</v>
      </c>
    </row>
    <row r="23" spans="2:21" ht="58.5" customHeight="1" x14ac:dyDescent="0.35">
      <c r="B23" s="507" t="s">
        <v>421</v>
      </c>
      <c r="C23" s="495"/>
      <c r="D23" s="518"/>
      <c r="E23" s="518">
        <f>(Model!I112-Model!I113+Model!I108)/(Model!I32*(1-Model!$H$129))</f>
        <v>0.13991989319092066</v>
      </c>
      <c r="F23" s="518">
        <f>(Model!J112-Model!J113+Model!J108)/(Model!J32*(1-Model!$H$129))</f>
        <v>-0.2404806818975754</v>
      </c>
      <c r="G23" s="518">
        <f>(Model!K112-Model!K113+Model!K108)/(Model!K32*(1-Model!$H$129))</f>
        <v>2.1179169534296873</v>
      </c>
      <c r="H23" s="518">
        <f>(Model!L112-Model!L113+Model!L108)/(Model!L32*(1-Model!$H$129))</f>
        <v>0.9341810252157613</v>
      </c>
      <c r="I23" s="519">
        <f>(Model!M112-Model!M113+Model!M108)/(Model!M32*(1-Model!$H$129))</f>
        <v>-0.20420329814365876</v>
      </c>
      <c r="J23" s="519">
        <f>(Model!N112-Model!N113+Model!N108)/(Model!N32*(1-Model!$H$129))</f>
        <v>1.0395476387553444</v>
      </c>
      <c r="K23" s="519">
        <f>(Model!O112-Model!O113+Model!O108)/(Model!O32*(1-Model!$H$129))</f>
        <v>1.0183070172896638</v>
      </c>
      <c r="L23" s="519">
        <f>(Model!P112-Model!P113+Model!P108)/(Model!P32*(1-Model!$H$129))</f>
        <v>1.0643288882061497</v>
      </c>
      <c r="M23" s="519">
        <f>(Model!Q112-Model!Q113+Model!Q108)/(Model!Q32*(1-Model!$H$129))</f>
        <v>1.0442238046557313</v>
      </c>
      <c r="N23" s="519">
        <f>(Model!R112-Model!R113+Model!R108)/(Model!R32*(1-Model!$H$129))</f>
        <v>1.0250694888866776</v>
      </c>
      <c r="O23" s="519">
        <f>(Model!S112-Model!S113+Model!S108)/(Model!S32*(1-Model!$H$129))</f>
        <v>1.0810145841136709</v>
      </c>
      <c r="P23" s="519">
        <f>(Model!T112-Model!T113+Model!T108)/(Model!T32*(1-Model!$H$129))</f>
        <v>1.0609412469051673</v>
      </c>
      <c r="Q23" s="519">
        <f>(Model!U112-Model!U113+Model!U108)/(Model!U32*(1-Model!$H$129))</f>
        <v>1.0420885925610486</v>
      </c>
      <c r="R23" s="519">
        <f>(Model!V112-Model!V113+Model!V108)/(Model!V32*(1-Model!$H$129))</f>
        <v>1.1029643000301712</v>
      </c>
      <c r="S23" s="439"/>
      <c r="U23" s="500" t="s">
        <v>509</v>
      </c>
    </row>
    <row r="24" spans="2:21" ht="15" thickBot="1" x14ac:dyDescent="0.4">
      <c r="B24" s="507"/>
      <c r="C24" s="495"/>
      <c r="D24" s="518"/>
      <c r="E24" s="518"/>
      <c r="F24" s="518"/>
      <c r="G24" s="518"/>
      <c r="H24" s="518"/>
      <c r="I24" s="519"/>
      <c r="J24" s="519"/>
      <c r="K24" s="519"/>
      <c r="L24" s="519"/>
      <c r="M24" s="519"/>
      <c r="N24" s="519"/>
      <c r="O24" s="519"/>
      <c r="P24" s="519"/>
      <c r="Q24" s="519"/>
      <c r="R24" s="519"/>
      <c r="S24" s="439"/>
      <c r="U24" s="502"/>
    </row>
    <row r="25" spans="2:21" x14ac:dyDescent="0.35">
      <c r="B25" s="546" t="s">
        <v>422</v>
      </c>
      <c r="C25" s="496"/>
      <c r="D25" s="518"/>
      <c r="E25" s="518"/>
      <c r="F25" s="518"/>
      <c r="G25" s="518"/>
      <c r="H25" s="518"/>
      <c r="I25" s="519"/>
      <c r="J25" s="519"/>
      <c r="K25" s="519"/>
      <c r="L25" s="519"/>
      <c r="M25" s="519"/>
      <c r="N25" s="519"/>
      <c r="O25" s="519"/>
      <c r="P25" s="519"/>
      <c r="Q25" s="519"/>
      <c r="R25" s="519"/>
      <c r="S25" s="439"/>
      <c r="U25" s="503"/>
    </row>
    <row r="26" spans="2:21" ht="67" customHeight="1" x14ac:dyDescent="0.35">
      <c r="B26" s="548" t="s">
        <v>423</v>
      </c>
      <c r="C26" s="498"/>
      <c r="D26" s="521">
        <f>(Model!H42+Model!H43+Model!H44+Model!H46)/(Model!H56+Model!H57)</f>
        <v>1.3687466087900162</v>
      </c>
      <c r="E26" s="521">
        <f>(Model!I42+Model!I43+Model!I44+Model!I46)/(Model!I56+Model!I57)</f>
        <v>2.099154334038055</v>
      </c>
      <c r="F26" s="521">
        <f>(Model!J42+Model!J43+Model!J44+Model!J46)/(Model!J56+Model!J57)</f>
        <v>2.054583545665591</v>
      </c>
      <c r="G26" s="521">
        <f>(Model!K42+Model!K43+Model!K44+Model!K46)/(Model!K56+Model!K57)</f>
        <v>1.557107928746071</v>
      </c>
      <c r="H26" s="521">
        <f>(Model!L42+Model!L43+Model!L44+Model!L46)/(Model!L56+Model!L57)</f>
        <v>2.0467610976115691</v>
      </c>
      <c r="I26" s="522">
        <f>(Model!M42+Model!M43+Model!M44+Model!M46)/(Model!M56+Model!M57)</f>
        <v>1.9877052752896796</v>
      </c>
      <c r="J26" s="522">
        <f>(Model!N42+Model!N43+Model!N44+Model!N46)/(Model!N56+Model!N57)</f>
        <v>1.7387561129556521</v>
      </c>
      <c r="K26" s="522">
        <f>(Model!O42+Model!O43+Model!O44+Model!O46)/(Model!O56+Model!O57)</f>
        <v>1.5350003819931772</v>
      </c>
      <c r="L26" s="522">
        <f>(Model!P42+Model!P43+Model!P44+Model!P46)/(Model!P56+Model!P57)</f>
        <v>1.3757408478621402</v>
      </c>
      <c r="M26" s="522">
        <f>(Model!Q42+Model!Q43+Model!Q44+Model!Q46)/(Model!Q56+Model!Q57)</f>
        <v>1.2512016653192175</v>
      </c>
      <c r="N26" s="522">
        <f>(Model!R42+Model!R43+Model!R44+Model!R46)/(Model!R56+Model!R57)</f>
        <v>1.1572415692844245</v>
      </c>
      <c r="O26" s="522">
        <f>(Model!S42+Model!S43+Model!S44+Model!S46)/(Model!S56+Model!S57)</f>
        <v>1.0955635223329578</v>
      </c>
      <c r="P26" s="522">
        <f>(Model!T42+Model!T43+Model!T44+Model!T46)/(Model!T56+Model!T57)</f>
        <v>1.0574127847751003</v>
      </c>
      <c r="Q26" s="522">
        <f>(Model!U42+Model!U43+Model!U44+Model!U46)/(Model!U56+Model!U57)</f>
        <v>1.0401313619705956</v>
      </c>
      <c r="R26" s="522">
        <f>(Model!V42+Model!V43+Model!V44+Model!V46)/(Model!V56+Model!V57)</f>
        <v>1.0469413222566759</v>
      </c>
      <c r="S26" s="439"/>
      <c r="U26" s="500" t="s">
        <v>510</v>
      </c>
    </row>
    <row r="27" spans="2:21" ht="67" customHeight="1" x14ac:dyDescent="0.35">
      <c r="B27" s="507" t="s">
        <v>424</v>
      </c>
      <c r="C27" s="495"/>
      <c r="D27" s="523">
        <f ca="1">SUM(Model!H42:H46)/SUM(Model!H56:H570)</f>
        <v>1.6835115710359247E-3</v>
      </c>
      <c r="E27" s="523">
        <f ca="1">SUM(Model!I42:I46)/SUM(Model!I56:I570)</f>
        <v>9.4173415798323827E-3</v>
      </c>
      <c r="F27" s="523">
        <f>SUM(Model!J42:J46)/SUM(Model!J56:J570)</f>
        <v>1.1107911606702525E-2</v>
      </c>
      <c r="G27" s="523">
        <f>SUM(Model!K42:K46)/SUM(Model!K56:K570)</f>
        <v>1.2544378542931117E-2</v>
      </c>
      <c r="H27" s="523">
        <f>SUM(Model!L42:L46)/SUM(Model!L56:L570)</f>
        <v>1.2903713747505374E-2</v>
      </c>
      <c r="I27" s="524">
        <f ca="1">SUM(Model!M42:M46)/SUM(Model!M56:M570)</f>
        <v>1.4169776803281915E-2</v>
      </c>
      <c r="J27" s="524">
        <f ca="1">SUM(Model!N42:N46)/SUM(Model!N56:N570)</f>
        <v>1.3106568226358412E-2</v>
      </c>
      <c r="K27" s="524">
        <f>SUM(Model!O42:O46)/SUM(Model!O56:O570)</f>
        <v>1.5206298378499388E-2</v>
      </c>
      <c r="L27" s="524">
        <f>SUM(Model!P42:P46)/SUM(Model!P56:P570)</f>
        <v>1.4930507773399528E-2</v>
      </c>
      <c r="M27" s="524">
        <f ca="1">SUM(Model!Q42:Q46)/SUM(Model!Q56:Q570)</f>
        <v>1.4125427067088967E-2</v>
      </c>
      <c r="N27" s="524">
        <f>SUM(Model!R42:R46)/SUM(Model!R56:R570)</f>
        <v>1.4735022655109318E-2</v>
      </c>
      <c r="O27" s="524">
        <f>SUM(Model!S42:S46)/SUM(Model!S56:S570)</f>
        <v>1.4835619128914842E-2</v>
      </c>
      <c r="P27" s="524">
        <f>SUM(Model!T42:T46)/SUM(Model!T56:T570)</f>
        <v>1.5037081035353743E-2</v>
      </c>
      <c r="Q27" s="524">
        <f>SUM(Model!U42:U46)/SUM(Model!U56:U570)</f>
        <v>1.5332409875532776E-2</v>
      </c>
      <c r="R27" s="524">
        <f>SUM(Model!V42:V46)/SUM(Model!V56:V570)</f>
        <v>1.5752942791440513E-2</v>
      </c>
      <c r="S27" s="439"/>
      <c r="U27" s="500" t="s">
        <v>511</v>
      </c>
    </row>
    <row r="28" spans="2:21" ht="67" customHeight="1" x14ac:dyDescent="0.35">
      <c r="B28" s="507" t="s">
        <v>425</v>
      </c>
      <c r="C28" s="495"/>
      <c r="D28" s="521">
        <f>D37+D39-D41</f>
        <v>173.78378179633222</v>
      </c>
      <c r="E28" s="521">
        <f t="shared" ref="E28:R28" si="1">E37+E39-E41</f>
        <v>209.07381276334215</v>
      </c>
      <c r="F28" s="521">
        <f t="shared" si="1"/>
        <v>222.5185972713399</v>
      </c>
      <c r="G28" s="521">
        <f t="shared" si="1"/>
        <v>375.82974217904098</v>
      </c>
      <c r="H28" s="521">
        <f t="shared" si="1"/>
        <v>133.62197831098683</v>
      </c>
      <c r="I28" s="522">
        <f t="shared" si="1"/>
        <v>222.96558246420841</v>
      </c>
      <c r="J28" s="522">
        <f t="shared" si="1"/>
        <v>222.96558246420841</v>
      </c>
      <c r="K28" s="522">
        <f t="shared" si="1"/>
        <v>222.96558246420841</v>
      </c>
      <c r="L28" s="522">
        <f t="shared" si="1"/>
        <v>222.96558246420841</v>
      </c>
      <c r="M28" s="522">
        <f t="shared" si="1"/>
        <v>222.96558246420841</v>
      </c>
      <c r="N28" s="522">
        <f t="shared" si="1"/>
        <v>222.96558246420841</v>
      </c>
      <c r="O28" s="522">
        <f t="shared" si="1"/>
        <v>222.96558246420841</v>
      </c>
      <c r="P28" s="522">
        <f t="shared" si="1"/>
        <v>222.96558246420841</v>
      </c>
      <c r="Q28" s="522">
        <f t="shared" si="1"/>
        <v>222.96558246420841</v>
      </c>
      <c r="R28" s="522">
        <f t="shared" si="1"/>
        <v>222.96558246420841</v>
      </c>
      <c r="S28" s="439"/>
      <c r="U28" s="500" t="s">
        <v>512</v>
      </c>
    </row>
    <row r="29" spans="2:21" ht="13.5" customHeight="1" x14ac:dyDescent="0.35">
      <c r="B29" s="507"/>
      <c r="C29" s="495"/>
      <c r="D29" s="518"/>
      <c r="E29" s="518"/>
      <c r="F29" s="518"/>
      <c r="G29" s="518"/>
      <c r="H29" s="518"/>
      <c r="I29" s="519"/>
      <c r="J29" s="519"/>
      <c r="K29" s="519"/>
      <c r="L29" s="519"/>
      <c r="M29" s="519"/>
      <c r="N29" s="519"/>
      <c r="O29" s="519"/>
      <c r="P29" s="519"/>
      <c r="Q29" s="519"/>
      <c r="R29" s="519"/>
      <c r="S29" s="439"/>
      <c r="U29" s="500"/>
    </row>
    <row r="30" spans="2:21" ht="22" customHeight="1" x14ac:dyDescent="0.35">
      <c r="B30" s="546" t="s">
        <v>426</v>
      </c>
      <c r="C30" s="496"/>
      <c r="D30" s="518"/>
      <c r="E30" s="518"/>
      <c r="F30" s="518"/>
      <c r="G30" s="518"/>
      <c r="H30" s="518"/>
      <c r="I30" s="519"/>
      <c r="J30" s="519"/>
      <c r="K30" s="519"/>
      <c r="L30" s="519"/>
      <c r="M30" s="519"/>
      <c r="N30" s="519"/>
      <c r="O30" s="519"/>
      <c r="P30" s="519"/>
      <c r="Q30" s="519"/>
      <c r="R30" s="519"/>
      <c r="S30" s="439"/>
      <c r="U30" s="500"/>
    </row>
    <row r="31" spans="2:21" ht="55.5" customHeight="1" x14ac:dyDescent="0.35">
      <c r="B31" s="507" t="s">
        <v>427</v>
      </c>
      <c r="C31" s="495"/>
      <c r="D31" s="521">
        <f>Model!H52/Model!H65</f>
        <v>2.6881591169881429</v>
      </c>
      <c r="E31" s="521">
        <f>Model!I52/Model!I65</f>
        <v>1.819643019761406</v>
      </c>
      <c r="F31" s="521">
        <f>Model!J52/Model!J65</f>
        <v>2.1839509243140185</v>
      </c>
      <c r="G31" s="521">
        <f>Model!K52/Model!K65</f>
        <v>1.9221612805639956</v>
      </c>
      <c r="H31" s="521">
        <f>Model!L52/Model!L65</f>
        <v>2.2134939636934847</v>
      </c>
      <c r="I31" s="522">
        <f>Model!M52/Model!M65</f>
        <v>2.0815028006478906</v>
      </c>
      <c r="J31" s="522">
        <f>Model!N52/Model!N65</f>
        <v>2.0480366413691309</v>
      </c>
      <c r="K31" s="522">
        <f>Model!O52/Model!O65</f>
        <v>2.0129226326917409</v>
      </c>
      <c r="L31" s="522">
        <f>Model!P52/Model!P65</f>
        <v>1.9791984642492504</v>
      </c>
      <c r="M31" s="522">
        <f>Model!Q52/Model!Q65</f>
        <v>1.9445806451872669</v>
      </c>
      <c r="N31" s="522">
        <f>Model!R52/Model!R65</f>
        <v>1.909527646995878</v>
      </c>
      <c r="O31" s="522">
        <f>Model!S52/Model!S65</f>
        <v>1.8767950085982574</v>
      </c>
      <c r="P31" s="522">
        <f>Model!T52/Model!T65</f>
        <v>1.8439958766160414</v>
      </c>
      <c r="Q31" s="522">
        <f>Model!U52/Model!U65</f>
        <v>1.8114516933783451</v>
      </c>
      <c r="R31" s="522">
        <f>Model!V52/Model!V65</f>
        <v>1.7814922415554622</v>
      </c>
      <c r="S31" s="439"/>
      <c r="U31" s="500" t="s">
        <v>513</v>
      </c>
    </row>
    <row r="32" spans="2:21" ht="58.5" customHeight="1" x14ac:dyDescent="0.35">
      <c r="B32" s="507" t="s">
        <v>428</v>
      </c>
      <c r="C32" s="495"/>
      <c r="D32" s="521">
        <f>Model!H59/Model!H65</f>
        <v>1.1031637615430852</v>
      </c>
      <c r="E32" s="521">
        <f>Model!I59/Model!I65</f>
        <v>0.45014115290046441</v>
      </c>
      <c r="F32" s="521">
        <f>Model!J59/Model!J65</f>
        <v>0.75066318494570183</v>
      </c>
      <c r="G32" s="521">
        <f>Model!K59/Model!K65</f>
        <v>0.51760512436044148</v>
      </c>
      <c r="H32" s="521">
        <f>Model!L59/Model!L65</f>
        <v>0.71706000836088624</v>
      </c>
      <c r="I32" s="522">
        <f>Model!M59/Model!M65</f>
        <v>0.6868718523425702</v>
      </c>
      <c r="J32" s="522">
        <f>Model!N59/Model!N65</f>
        <v>0.65609801092348541</v>
      </c>
      <c r="K32" s="522">
        <f>Model!O59/Model!O65</f>
        <v>0.62515859513100602</v>
      </c>
      <c r="L32" s="522">
        <f>Model!P59/Model!P65</f>
        <v>0.59594233801548158</v>
      </c>
      <c r="M32" s="522">
        <f>Model!Q59/Model!Q65</f>
        <v>0.56703249492756014</v>
      </c>
      <c r="N32" s="522">
        <f>Model!R59/Model!R65</f>
        <v>0.53870552121242332</v>
      </c>
      <c r="O32" s="522">
        <f>Model!S59/Model!S65</f>
        <v>0.51255972965004348</v>
      </c>
      <c r="P32" s="522">
        <f>Model!T59/Model!T65</f>
        <v>0.48713877037559661</v>
      </c>
      <c r="Q32" s="522">
        <f>Model!U59/Model!U65</f>
        <v>0.4625990611506588</v>
      </c>
      <c r="R32" s="522">
        <f>Model!V59/Model!V65</f>
        <v>0.44021712388361206</v>
      </c>
      <c r="S32" s="439"/>
      <c r="U32" s="500" t="s">
        <v>514</v>
      </c>
    </row>
    <row r="33" spans="2:21" ht="63" customHeight="1" x14ac:dyDescent="0.35">
      <c r="B33" s="507" t="s">
        <v>429</v>
      </c>
      <c r="C33" s="495"/>
      <c r="D33" s="521">
        <f>Model!H59/SUM(Model!H59,Model!H65)</f>
        <v>0.52452585087035597</v>
      </c>
      <c r="E33" s="521">
        <f>Model!I59/SUM(Model!I59,Model!I65)</f>
        <v>0.31041195679477518</v>
      </c>
      <c r="F33" s="521">
        <f>Model!J59/SUM(Model!J59,Model!J65)</f>
        <v>0.42878789672439716</v>
      </c>
      <c r="G33" s="521">
        <f>Model!K59/SUM(Model!K59,Model!K65)</f>
        <v>0.34106706418678828</v>
      </c>
      <c r="H33" s="521">
        <f>Model!L59/SUM(Model!L59,Model!L65)</f>
        <v>0.41760917199707842</v>
      </c>
      <c r="I33" s="522">
        <f>Model!M59/SUM(Model!M59,Model!M65)</f>
        <v>0.40718674117936504</v>
      </c>
      <c r="J33" s="522">
        <f>Model!N59/SUM(Model!N59,Model!N65)</f>
        <v>0.39617100352510376</v>
      </c>
      <c r="K33" s="522">
        <f>Model!O59/SUM(Model!O59,Model!O65)</f>
        <v>0.38467543844889257</v>
      </c>
      <c r="L33" s="522">
        <f>Model!P59/SUM(Model!P59,Model!P65)</f>
        <v>0.37341094588450013</v>
      </c>
      <c r="M33" s="522">
        <f>Model!Q59/SUM(Model!Q59,Model!Q65)</f>
        <v>0.36185114014101705</v>
      </c>
      <c r="N33" s="522">
        <f>Model!R59/SUM(Model!R59,Model!R65)</f>
        <v>0.35010306636707861</v>
      </c>
      <c r="O33" s="522">
        <f>Model!S59/SUM(Model!S59,Model!S65)</f>
        <v>0.33886908371455382</v>
      </c>
      <c r="P33" s="522">
        <f>Model!T59/SUM(Model!T59,Model!T65)</f>
        <v>0.32756779668420805</v>
      </c>
      <c r="Q33" s="522">
        <f>Model!U59/SUM(Model!U59,Model!U65)</f>
        <v>0.3162856270307749</v>
      </c>
      <c r="R33" s="522">
        <f>Model!V59/SUM(Model!V59,Model!V65)</f>
        <v>0.30566024843292117</v>
      </c>
      <c r="S33" s="439"/>
      <c r="U33" s="505" t="s">
        <v>515</v>
      </c>
    </row>
    <row r="34" spans="2:21" x14ac:dyDescent="0.35">
      <c r="B34" s="507"/>
      <c r="C34" s="495"/>
      <c r="D34" s="518"/>
      <c r="E34" s="518"/>
      <c r="F34" s="518"/>
      <c r="G34" s="518"/>
      <c r="H34" s="518"/>
      <c r="I34" s="519"/>
      <c r="J34" s="519"/>
      <c r="K34" s="519"/>
      <c r="L34" s="519"/>
      <c r="M34" s="519"/>
      <c r="N34" s="519"/>
      <c r="O34" s="519"/>
      <c r="P34" s="519"/>
      <c r="Q34" s="519"/>
      <c r="R34" s="519"/>
      <c r="S34" s="439"/>
      <c r="U34" s="500"/>
    </row>
    <row r="35" spans="2:21" ht="9" customHeight="1" x14ac:dyDescent="0.35">
      <c r="B35" s="546" t="s">
        <v>430</v>
      </c>
      <c r="C35" s="496"/>
      <c r="D35" s="518"/>
      <c r="E35" s="518"/>
      <c r="F35" s="518"/>
      <c r="G35" s="518"/>
      <c r="H35" s="518"/>
      <c r="I35" s="519"/>
      <c r="J35" s="519"/>
      <c r="K35" s="519"/>
      <c r="L35" s="519"/>
      <c r="M35" s="519"/>
      <c r="N35" s="519"/>
      <c r="O35" s="519"/>
      <c r="P35" s="519"/>
      <c r="Q35" s="519"/>
      <c r="R35" s="519"/>
      <c r="S35" s="439"/>
      <c r="U35" s="500"/>
    </row>
    <row r="36" spans="2:21" ht="60.5" customHeight="1" x14ac:dyDescent="0.35">
      <c r="B36" s="507" t="s">
        <v>431</v>
      </c>
      <c r="C36" s="495"/>
      <c r="D36" s="525"/>
      <c r="E36" s="525">
        <f>Model!I24/AVERAGE(Model!H44:I44)</f>
        <v>5.1821324115926615</v>
      </c>
      <c r="F36" s="525">
        <f>Model!J24/AVERAGE(Model!I44:J44)</f>
        <v>4.7837423312883436</v>
      </c>
      <c r="G36" s="525">
        <f>Model!K24/AVERAGE(Model!J44:K44)</f>
        <v>3.0089964493432371</v>
      </c>
      <c r="H36" s="525">
        <f>Model!L24/AVERAGE(Model!K44:L44)</f>
        <v>3.2269925919777553</v>
      </c>
      <c r="I36" s="526">
        <f>Model!M24/AVERAGE(Model!L44:M44)</f>
        <v>3.8679661301773609</v>
      </c>
      <c r="J36" s="526">
        <f>Model!N24/AVERAGE(Model!M44:N44)</f>
        <v>3.732975410854332</v>
      </c>
      <c r="K36" s="526">
        <f>Model!O24/AVERAGE(Model!N44:O44)</f>
        <v>3.7262688623646061</v>
      </c>
      <c r="L36" s="526">
        <f>Model!P24/AVERAGE(Model!O44:P44)</f>
        <v>3.7199412466389652</v>
      </c>
      <c r="M36" s="526">
        <f>Model!Q24/AVERAGE(Model!P44:Q44)</f>
        <v>3.7139724460046377</v>
      </c>
      <c r="N36" s="526">
        <f>Model!R24/AVERAGE(Model!Q44:R44)</f>
        <v>3.7083432634768005</v>
      </c>
      <c r="O36" s="526">
        <f>Model!S24/AVERAGE(Model!R44:S44)</f>
        <v>3.7030353978739794</v>
      </c>
      <c r="P36" s="526">
        <f>Model!T24/AVERAGE(Model!S44:T44)</f>
        <v>3.6980314173678805</v>
      </c>
      <c r="Q36" s="526">
        <f>Model!U24/AVERAGE(Model!T44:U44)</f>
        <v>3.6933147318433499</v>
      </c>
      <c r="R36" s="526">
        <f>Model!V24/AVERAGE(Model!U44:V44)</f>
        <v>3.6888695644000906</v>
      </c>
      <c r="S36" s="439"/>
      <c r="U36" s="500" t="s">
        <v>516</v>
      </c>
    </row>
    <row r="37" spans="2:21" ht="60.5" customHeight="1" x14ac:dyDescent="0.35">
      <c r="B37" s="507" t="s">
        <v>432</v>
      </c>
      <c r="C37" s="495"/>
      <c r="D37" s="525">
        <f>Model!H17</f>
        <v>85.225617550013368</v>
      </c>
      <c r="E37" s="525">
        <f>Model!I17</f>
        <v>82.026680348896875</v>
      </c>
      <c r="F37" s="525">
        <f>Model!J17</f>
        <v>94.353813868081275</v>
      </c>
      <c r="G37" s="525">
        <f>Model!K17</f>
        <v>148.86537709760088</v>
      </c>
      <c r="H37" s="525">
        <f>Model!L17</f>
        <v>93.986701990843159</v>
      </c>
      <c r="I37" s="526">
        <f>Model!M17</f>
        <v>100.89163817108711</v>
      </c>
      <c r="J37" s="526">
        <f>Model!N17</f>
        <v>100.89163817108711</v>
      </c>
      <c r="K37" s="526">
        <f>Model!O17</f>
        <v>100.89163817108711</v>
      </c>
      <c r="L37" s="526">
        <f>Model!P17</f>
        <v>100.89163817108711</v>
      </c>
      <c r="M37" s="526">
        <f>Model!Q17</f>
        <v>100.89163817108711</v>
      </c>
      <c r="N37" s="526">
        <f>Model!R17</f>
        <v>100.89163817108711</v>
      </c>
      <c r="O37" s="526">
        <f>Model!S17</f>
        <v>100.89163817108711</v>
      </c>
      <c r="P37" s="526">
        <f>Model!T17</f>
        <v>100.89163817108711</v>
      </c>
      <c r="Q37" s="526">
        <f>Model!U17</f>
        <v>100.89163817108711</v>
      </c>
      <c r="R37" s="526">
        <f>Model!V17</f>
        <v>100.89163817108711</v>
      </c>
      <c r="S37" s="439"/>
      <c r="U37" s="500" t="s">
        <v>517</v>
      </c>
    </row>
    <row r="38" spans="2:21" ht="60.5" customHeight="1" x14ac:dyDescent="0.35">
      <c r="B38" s="507" t="s">
        <v>433</v>
      </c>
      <c r="C38" s="495"/>
      <c r="D38" s="525"/>
      <c r="E38" s="525">
        <f>-Model!I25/AVERAGE(Model!H45:I45)</f>
        <v>1.7819324735921196</v>
      </c>
      <c r="F38" s="525">
        <f>-Model!J25/AVERAGE(Model!I45:J45)</f>
        <v>1.5936910328985148</v>
      </c>
      <c r="G38" s="525">
        <f>-Model!K25/AVERAGE(Model!J45:K45)</f>
        <v>1.1326157445107414</v>
      </c>
      <c r="H38" s="525">
        <f>-Model!L25/AVERAGE(Model!K45:L45)</f>
        <v>1.223477016064896</v>
      </c>
      <c r="I38" s="526">
        <f>-Model!M25/AVERAGE(Model!L45:M45)</f>
        <v>1.4148118081004173</v>
      </c>
      <c r="J38" s="526">
        <f>-Model!N25/AVERAGE(Model!M45:N45)</f>
        <v>1.3687509368299104</v>
      </c>
      <c r="K38" s="526">
        <f>-Model!O25/AVERAGE(Model!N45:O45)</f>
        <v>1.36629188111218</v>
      </c>
      <c r="L38" s="526">
        <f>-Model!P25/AVERAGE(Model!O45:P45)</f>
        <v>1.3639717667264315</v>
      </c>
      <c r="M38" s="526">
        <f>-Model!Q25/AVERAGE(Model!P45:Q45)</f>
        <v>1.3617832172288291</v>
      </c>
      <c r="N38" s="526">
        <f>-Model!R25/AVERAGE(Model!Q45:R45)</f>
        <v>1.3597191937594646</v>
      </c>
      <c r="O38" s="526">
        <f>-Model!S25/AVERAGE(Model!R45:S45)</f>
        <v>1.3577729859180454</v>
      </c>
      <c r="P38" s="526">
        <f>-Model!T25/AVERAGE(Model!S45:T45)</f>
        <v>1.3559382020655493</v>
      </c>
      <c r="Q38" s="526">
        <f>-Model!U25/AVERAGE(Model!T45:U45)</f>
        <v>1.3542087591895902</v>
      </c>
      <c r="R38" s="526">
        <f>-Model!V25/AVERAGE(Model!U45:V45)</f>
        <v>1.3525788724551007</v>
      </c>
      <c r="S38" s="439"/>
      <c r="U38" s="500" t="s">
        <v>518</v>
      </c>
    </row>
    <row r="39" spans="2:21" ht="60.5" customHeight="1" x14ac:dyDescent="0.35">
      <c r="B39" s="507" t="s">
        <v>434</v>
      </c>
      <c r="C39" s="495"/>
      <c r="D39" s="525">
        <f>Model!H18</f>
        <v>210.60036431715832</v>
      </c>
      <c r="E39" s="525">
        <f>Model!I18</f>
        <v>258.30217841946398</v>
      </c>
      <c r="F39" s="525">
        <f>Model!J18</f>
        <v>275.24143522689252</v>
      </c>
      <c r="G39" s="525">
        <f>Model!K18</f>
        <v>364.95228633428326</v>
      </c>
      <c r="H39" s="525">
        <f>Model!L18</f>
        <v>266.70555004018343</v>
      </c>
      <c r="I39" s="526">
        <f>Model!M18</f>
        <v>275.16036286759629</v>
      </c>
      <c r="J39" s="526">
        <f>Model!N18</f>
        <v>275.16036286759629</v>
      </c>
      <c r="K39" s="526">
        <f>Model!O18</f>
        <v>275.16036286759629</v>
      </c>
      <c r="L39" s="526">
        <f>Model!P18</f>
        <v>275.16036286759629</v>
      </c>
      <c r="M39" s="526">
        <f>Model!Q18</f>
        <v>275.16036286759629</v>
      </c>
      <c r="N39" s="526">
        <f>Model!R18</f>
        <v>275.16036286759629</v>
      </c>
      <c r="O39" s="526">
        <f>Model!S18</f>
        <v>275.16036286759629</v>
      </c>
      <c r="P39" s="526">
        <f>Model!T18</f>
        <v>275.16036286759629</v>
      </c>
      <c r="Q39" s="526">
        <f>Model!U18</f>
        <v>275.16036286759629</v>
      </c>
      <c r="R39" s="526">
        <f>Model!V18</f>
        <v>275.16036286759629</v>
      </c>
      <c r="S39" s="439"/>
      <c r="U39" s="500" t="s">
        <v>519</v>
      </c>
    </row>
    <row r="40" spans="2:21" ht="60.5" customHeight="1" x14ac:dyDescent="0.35">
      <c r="B40" s="507" t="s">
        <v>435</v>
      </c>
      <c r="C40" s="495"/>
      <c r="D40" s="525"/>
      <c r="E40" s="525">
        <f>-Model!I25/AVERAGE(Model!H56:I56)</f>
        <v>3.3337778855480118</v>
      </c>
      <c r="F40" s="525">
        <f>-Model!J25/AVERAGE(Model!I56:J56)</f>
        <v>3.0420075950358219</v>
      </c>
      <c r="G40" s="525">
        <f>-Model!K25/AVERAGE(Model!J56:K56)</f>
        <v>2.5401959156566498</v>
      </c>
      <c r="H40" s="525">
        <f>-Model!L25/AVERAGE(Model!K56:L56)</f>
        <v>2.0748914882660197</v>
      </c>
      <c r="I40" s="526">
        <f>-Model!M25/AVERAGE(Model!L56:M56)</f>
        <v>2.0384859614632296</v>
      </c>
      <c r="J40" s="526">
        <f>-Model!N25/AVERAGE(Model!M56:N56)</f>
        <v>2.4602182738389415</v>
      </c>
      <c r="K40" s="526">
        <f>-Model!O25/AVERAGE(Model!N56:O56)</f>
        <v>2.4557983215668653</v>
      </c>
      <c r="L40" s="526">
        <f>-Model!P25/AVERAGE(Model!O56:P56)</f>
        <v>2.4516281050171429</v>
      </c>
      <c r="M40" s="526">
        <f>-Model!Q25/AVERAGE(Model!P56:Q56)</f>
        <v>2.4476943656330645</v>
      </c>
      <c r="N40" s="526">
        <f>-Model!R25/AVERAGE(Model!Q56:R56)</f>
        <v>2.4439844516375175</v>
      </c>
      <c r="O40" s="526">
        <f>-Model!S25/AVERAGE(Model!R56:S56)</f>
        <v>2.4404863016327862</v>
      </c>
      <c r="P40" s="526">
        <f>-Model!T25/AVERAGE(Model!S56:T56)</f>
        <v>2.4371884271685604</v>
      </c>
      <c r="Q40" s="526">
        <f>-Model!U25/AVERAGE(Model!T56:U56)</f>
        <v>2.4340798945257633</v>
      </c>
      <c r="R40" s="526">
        <f>-Model!V25/AVERAGE(Model!U56:V56)</f>
        <v>2.431150305934747</v>
      </c>
      <c r="S40" s="439"/>
      <c r="U40" s="500" t="s">
        <v>520</v>
      </c>
    </row>
    <row r="41" spans="2:21" ht="60.5" customHeight="1" x14ac:dyDescent="0.35">
      <c r="B41" s="507" t="s">
        <v>436</v>
      </c>
      <c r="C41" s="495"/>
      <c r="D41" s="525">
        <f>Model!H19</f>
        <v>122.04220007083944</v>
      </c>
      <c r="E41" s="525">
        <f>Model!I19</f>
        <v>131.25504600501873</v>
      </c>
      <c r="F41" s="525">
        <f>Model!J19</f>
        <v>147.07665182363388</v>
      </c>
      <c r="G41" s="525">
        <f>Model!K19</f>
        <v>137.98792125284319</v>
      </c>
      <c r="H41" s="525">
        <f>Model!L19</f>
        <v>227.07027372003972</v>
      </c>
      <c r="I41" s="526">
        <f>Model!M19</f>
        <v>153.08641857447498</v>
      </c>
      <c r="J41" s="526">
        <f>Model!N19</f>
        <v>153.08641857447498</v>
      </c>
      <c r="K41" s="526">
        <f>Model!O19</f>
        <v>153.08641857447498</v>
      </c>
      <c r="L41" s="526">
        <f>Model!P19</f>
        <v>153.08641857447498</v>
      </c>
      <c r="M41" s="526">
        <f>Model!Q19</f>
        <v>153.08641857447498</v>
      </c>
      <c r="N41" s="526">
        <f>Model!R19</f>
        <v>153.08641857447498</v>
      </c>
      <c r="O41" s="526">
        <f>Model!S19</f>
        <v>153.08641857447498</v>
      </c>
      <c r="P41" s="526">
        <f>Model!T19</f>
        <v>153.08641857447498</v>
      </c>
      <c r="Q41" s="526">
        <f>Model!U19</f>
        <v>153.08641857447498</v>
      </c>
      <c r="R41" s="526">
        <f>Model!V19</f>
        <v>153.08641857447498</v>
      </c>
      <c r="S41" s="439"/>
      <c r="U41" s="500" t="s">
        <v>521</v>
      </c>
    </row>
    <row r="42" spans="2:21" ht="60.5" customHeight="1" x14ac:dyDescent="0.35">
      <c r="B42" s="507" t="s">
        <v>437</v>
      </c>
      <c r="C42" s="495"/>
      <c r="D42" s="525"/>
      <c r="E42" s="525">
        <f>Model!I24/AVERAGE(Model!H48:I48)</f>
        <v>1.8159964220491223</v>
      </c>
      <c r="F42" s="525">
        <f>Model!J24/AVERAGE(Model!I48:J48)</f>
        <v>2.025713315718777</v>
      </c>
      <c r="G42" s="525">
        <f>Model!K24/AVERAGE(Model!J48:K48)</f>
        <v>1.4020055619836387</v>
      </c>
      <c r="H42" s="525">
        <f>Model!L24/AVERAGE(Model!K48:L48)</f>
        <v>1.3377606496455852</v>
      </c>
      <c r="I42" s="526">
        <f>Model!M24/AVERAGE(Model!L48:M48)</f>
        <v>1.3929433055265359</v>
      </c>
      <c r="J42" s="526">
        <f>Model!N24/AVERAGE(Model!M48:N48)</f>
        <v>1.3193237344136119</v>
      </c>
      <c r="K42" s="526">
        <f>Model!O24/AVERAGE(Model!N48:O48)</f>
        <v>1.2657466767599681</v>
      </c>
      <c r="L42" s="526">
        <f>Model!P24/AVERAGE(Model!O48:P48)</f>
        <v>1.2288063548917743</v>
      </c>
      <c r="M42" s="526">
        <f>Model!Q24/AVERAGE(Model!P48:Q48)</f>
        <v>1.2037857210515002</v>
      </c>
      <c r="N42" s="526">
        <f>Model!R24/AVERAGE(Model!Q48:R48)</f>
        <v>1.1851790320305338</v>
      </c>
      <c r="O42" s="526">
        <f>Model!S24/AVERAGE(Model!R48:S48)</f>
        <v>1.174208595430035</v>
      </c>
      <c r="P42" s="526">
        <f>Model!T24/AVERAGE(Model!S48:T48)</f>
        <v>1.1692503432199783</v>
      </c>
      <c r="Q42" s="526">
        <f>Model!U24/AVERAGE(Model!T48:U48)</f>
        <v>1.1665780900977432</v>
      </c>
      <c r="R42" s="526">
        <f>Model!V24/AVERAGE(Model!U48:V48)</f>
        <v>1.1685212909290639</v>
      </c>
      <c r="S42" s="439"/>
      <c r="U42" s="500" t="s">
        <v>522</v>
      </c>
    </row>
    <row r="43" spans="2:21" s="19" customFormat="1" ht="60.5" customHeight="1" x14ac:dyDescent="0.35">
      <c r="B43" s="549" t="s">
        <v>438</v>
      </c>
      <c r="C43" s="499"/>
      <c r="D43" s="527">
        <f>Model!H37/SUM(Model!H59,Model!H65)</f>
        <v>8.1397765653416596E-2</v>
      </c>
      <c r="E43" s="527">
        <f>Model!I37/SUM(Model!I59,Model!I65)</f>
        <v>7.0067194172318575E-2</v>
      </c>
      <c r="F43" s="527">
        <f>Model!J37/SUM(Model!J59,Model!J65)</f>
        <v>5.9154996270997795E-2</v>
      </c>
      <c r="G43" s="527">
        <f>Model!K37/SUM(Model!K59,Model!K65)</f>
        <v>3.0897367006985449E-2</v>
      </c>
      <c r="H43" s="527">
        <f>Model!L37/SUM(Model!L59,Model!L65)</f>
        <v>2.5696642393926633E-2</v>
      </c>
      <c r="I43" s="528">
        <f>Model!M37/SUM(Model!M59,Model!M65)</f>
        <v>2.9468304286492344E-2</v>
      </c>
      <c r="J43" s="528">
        <f>Model!N37/SUM(Model!N59,Model!N65)</f>
        <v>3.1943030015216471E-2</v>
      </c>
      <c r="K43" s="528">
        <f>Model!O37/SUM(Model!O59,Model!O65)</f>
        <v>3.4261296393341495E-2</v>
      </c>
      <c r="L43" s="528">
        <f>Model!P37/SUM(Model!P59,Model!P65)</f>
        <v>3.4575886859318235E-2</v>
      </c>
      <c r="M43" s="528">
        <f>Model!Q37/SUM(Model!Q59,Model!Q65)</f>
        <v>3.6552715387624418E-2</v>
      </c>
      <c r="N43" s="528">
        <f>Model!R37/SUM(Model!R59,Model!R65)</f>
        <v>3.8334770970226334E-2</v>
      </c>
      <c r="O43" s="528">
        <f>Model!S37/SUM(Model!S59,Model!S65)</f>
        <v>3.7887328854234931E-2</v>
      </c>
      <c r="P43" s="528">
        <f>Model!T37/SUM(Model!T59,Model!T65)</f>
        <v>3.937785995878363E-2</v>
      </c>
      <c r="Q43" s="528">
        <f>Model!U37/SUM(Model!U59,Model!U65)</f>
        <v>4.0667509775195329E-2</v>
      </c>
      <c r="R43" s="528">
        <f>Model!V37/SUM(Model!V59,Model!V65)</f>
        <v>3.9666246830938161E-2</v>
      </c>
      <c r="S43" s="506"/>
      <c r="U43" s="500" t="s">
        <v>523</v>
      </c>
    </row>
    <row r="44" spans="2:21" x14ac:dyDescent="0.35">
      <c r="I44" s="378"/>
      <c r="J44" s="378"/>
      <c r="K44" s="378"/>
      <c r="L44" s="378"/>
      <c r="M44" s="378"/>
      <c r="N44" s="378"/>
      <c r="O44" s="378"/>
      <c r="P44" s="378"/>
      <c r="Q44" s="378"/>
      <c r="R44" s="378"/>
      <c r="S44" s="378"/>
    </row>
    <row r="45" spans="2:21" x14ac:dyDescent="0.35">
      <c r="I45" s="378"/>
      <c r="J45" s="378"/>
      <c r="K45" s="378"/>
      <c r="L45" s="378"/>
      <c r="M45" s="378"/>
      <c r="N45" s="378"/>
      <c r="O45" s="378"/>
      <c r="P45" s="378"/>
      <c r="Q45" s="378"/>
      <c r="R45" s="378"/>
      <c r="S45" s="378"/>
    </row>
    <row r="46" spans="2:21" x14ac:dyDescent="0.35">
      <c r="I46" s="378"/>
      <c r="J46" s="378"/>
      <c r="K46" s="378"/>
      <c r="L46" s="378"/>
      <c r="M46" s="378"/>
      <c r="N46" s="378"/>
      <c r="O46" s="378"/>
      <c r="P46" s="378"/>
      <c r="Q46" s="378"/>
      <c r="R46" s="378"/>
      <c r="S46" s="378"/>
    </row>
  </sheetData>
  <mergeCells count="2">
    <mergeCell ref="A4:S4"/>
    <mergeCell ref="U5:U6"/>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manualMax="0" manualMin="0" displayEmptyCellsAs="gap">
          <x14:colorSeries rgb="FF7030A0"/>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'Ratio Analysis'!D9:R9</xm:f>
              <xm:sqref>S9</xm:sqref>
            </x14:sparkline>
          </x14:sparklines>
        </x14:sparklineGroup>
        <x14:sparklineGroup manualMax="0" manualMin="0" displayEmptyCellsAs="gap">
          <x14:colorSeries rgb="FF7030A0"/>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'Ratio Analysis'!D10:R10</xm:f>
              <xm:sqref>S10</xm:sqref>
            </x14:sparkline>
            <x14:sparkline>
              <xm:f>'Ratio Analysis'!D11:R11</xm:f>
              <xm:sqref>S11</xm:sqref>
            </x14:sparkline>
            <x14:sparkline>
              <xm:f>'Ratio Analysis'!D13:R13</xm:f>
              <xm:sqref>S13</xm:sqref>
            </x14:sparkline>
            <x14:sparkline>
              <xm:f>'Ratio Analysis'!D15:R15</xm:f>
              <xm:sqref>S15</xm:sqref>
            </x14:sparkline>
            <x14:sparkline>
              <xm:f>'Ratio Analysis'!D16:R16</xm:f>
              <xm:sqref>S16</xm:sqref>
            </x14:sparkline>
            <x14:sparkline>
              <xm:f>'Ratio Analysis'!D17:R17</xm:f>
              <xm:sqref>S17</xm:sqref>
            </x14:sparkline>
            <x14:sparkline>
              <xm:f>'Ratio Analysis'!D18:R18</xm:f>
              <xm:sqref>S18</xm:sqref>
            </x14:sparkline>
            <x14:sparkline>
              <xm:f>'Ratio Analysis'!D19:R19</xm:f>
              <xm:sqref>S19</xm:sqref>
            </x14:sparkline>
            <x14:sparkline>
              <xm:f>'Ratio Analysis'!D20:R20</xm:f>
              <xm:sqref>S20</xm:sqref>
            </x14:sparkline>
            <x14:sparkline>
              <xm:f>'Ratio Analysis'!D21:R21</xm:f>
              <xm:sqref>S21</xm:sqref>
            </x14:sparkline>
            <x14:sparkline>
              <xm:f>'Ratio Analysis'!D22:R22</xm:f>
              <xm:sqref>S22</xm:sqref>
            </x14:sparkline>
            <x14:sparkline>
              <xm:f>'Ratio Analysis'!D23:R23</xm:f>
              <xm:sqref>S23</xm:sqref>
            </x14:sparkline>
            <x14:sparkline>
              <xm:f>'Ratio Analysis'!D24:R24</xm:f>
              <xm:sqref>S24</xm:sqref>
            </x14:sparkline>
            <x14:sparkline>
              <xm:f>'Ratio Analysis'!D25:R25</xm:f>
              <xm:sqref>S25</xm:sqref>
            </x14:sparkline>
            <x14:sparkline>
              <xm:f>'Ratio Analysis'!D26:R26</xm:f>
              <xm:sqref>S26</xm:sqref>
            </x14:sparkline>
            <x14:sparkline>
              <xm:f>'Ratio Analysis'!D27:R27</xm:f>
              <xm:sqref>S27</xm:sqref>
            </x14:sparkline>
            <x14:sparkline>
              <xm:f>'Ratio Analysis'!D28:R28</xm:f>
              <xm:sqref>S28</xm:sqref>
            </x14:sparkline>
            <x14:sparkline>
              <xm:f>'Ratio Analysis'!D29:R29</xm:f>
              <xm:sqref>S29</xm:sqref>
            </x14:sparkline>
            <x14:sparkline>
              <xm:f>'Ratio Analysis'!D30:R30</xm:f>
              <xm:sqref>S30</xm:sqref>
            </x14:sparkline>
            <x14:sparkline>
              <xm:f>'Ratio Analysis'!D31:R31</xm:f>
              <xm:sqref>S31</xm:sqref>
            </x14:sparkline>
            <x14:sparkline>
              <xm:f>'Ratio Analysis'!D32:R32</xm:f>
              <xm:sqref>S32</xm:sqref>
            </x14:sparkline>
            <x14:sparkline>
              <xm:f>'Ratio Analysis'!D33:R33</xm:f>
              <xm:sqref>S33</xm:sqref>
            </x14:sparkline>
            <x14:sparkline>
              <xm:f>'Ratio Analysis'!D34:R34</xm:f>
              <xm:sqref>S34</xm:sqref>
            </x14:sparkline>
            <x14:sparkline>
              <xm:f>'Ratio Analysis'!D35:R35</xm:f>
              <xm:sqref>S35</xm:sqref>
            </x14:sparkline>
            <x14:sparkline>
              <xm:f>'Ratio Analysis'!D36:R36</xm:f>
              <xm:sqref>S36</xm:sqref>
            </x14:sparkline>
            <x14:sparkline>
              <xm:f>'Ratio Analysis'!D37:R37</xm:f>
              <xm:sqref>S37</xm:sqref>
            </x14:sparkline>
            <x14:sparkline>
              <xm:f>'Ratio Analysis'!D38:R38</xm:f>
              <xm:sqref>S38</xm:sqref>
            </x14:sparkline>
            <x14:sparkline>
              <xm:f>'Ratio Analysis'!D39:R39</xm:f>
              <xm:sqref>S39</xm:sqref>
            </x14:sparkline>
            <x14:sparkline>
              <xm:f>'Ratio Analysis'!D40:R40</xm:f>
              <xm:sqref>S40</xm:sqref>
            </x14:sparkline>
            <x14:sparkline>
              <xm:f>'Ratio Analysis'!D43:R43</xm:f>
              <xm:sqref>S43</xm:sqref>
            </x14:sparkline>
          </x14:sparklines>
        </x14:sparklineGroup>
        <x14:sparklineGroup manualMax="0" manualMin="0" displayEmptyCellsAs="gap">
          <x14:colorSeries rgb="FF7030A0"/>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'Ratio Analysis'!D12:R12</xm:f>
              <xm:sqref>S12</xm:sqref>
            </x14:sparkline>
          </x14:sparklines>
        </x14:sparklineGroup>
        <x14:sparklineGroup manualMax="0" manualMin="0" displayEmptyCellsAs="gap">
          <x14:colorSeries rgb="FF7030A0"/>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'Ratio Analysis'!D41:R41</xm:f>
              <xm:sqref>S41</xm:sqref>
            </x14:sparkline>
          </x14:sparklines>
        </x14:sparklineGroup>
        <x14:sparklineGroup manualMax="0" manualMin="0" displayEmptyCellsAs="gap">
          <x14:colorSeries rgb="FF7030A0"/>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'Ratio Analysis'!D42:R42</xm:f>
              <xm:sqref>S42</xm:sqref>
            </x14:sparkline>
          </x14:sparklines>
        </x14:sparklineGroup>
        <x14:sparklineGroup manualMax="0" manualMin="0" displayEmptyCellsAs="gap">
          <x14:colorSeries rgb="FF7030A0"/>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'Ratio Analysis'!D14:R14</xm:f>
              <xm:sqref>S14</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
  <sheetViews>
    <sheetView showGridLines="0" zoomScale="99" zoomScaleNormal="99" workbookViewId="0">
      <selection activeCell="I9" sqref="I9"/>
    </sheetView>
  </sheetViews>
  <sheetFormatPr defaultColWidth="8.81640625" defaultRowHeight="14.5" x14ac:dyDescent="0.35"/>
  <cols>
    <col min="1" max="1" width="9.453125" customWidth="1"/>
    <col min="5" max="5" width="14.81640625" bestFit="1" customWidth="1"/>
    <col min="7" max="7" width="6.6328125" customWidth="1"/>
    <col min="8" max="11" width="17.36328125" customWidth="1"/>
    <col min="12" max="12" width="16.36328125" customWidth="1"/>
  </cols>
  <sheetData>
    <row r="1" spans="1:20" ht="36" x14ac:dyDescent="0.8">
      <c r="A1" s="443" t="str">
        <f>'Ratio Analysis'!A1</f>
        <v>Neogen Chemicals Limited</v>
      </c>
      <c r="B1" s="443"/>
      <c r="C1" s="443"/>
      <c r="D1" s="241"/>
      <c r="E1" s="241"/>
      <c r="F1" s="241"/>
      <c r="G1" s="241"/>
      <c r="H1" s="241"/>
      <c r="I1" s="241"/>
      <c r="J1" s="241"/>
      <c r="K1" s="241"/>
      <c r="L1" s="241"/>
      <c r="M1" s="241"/>
      <c r="N1" s="460"/>
      <c r="O1" s="460"/>
      <c r="P1" s="460"/>
      <c r="Q1" s="460"/>
      <c r="R1" s="460"/>
      <c r="S1" s="460"/>
      <c r="T1" s="460"/>
    </row>
    <row r="2" spans="1:20" ht="15.5" x14ac:dyDescent="0.35">
      <c r="A2" s="451" t="s">
        <v>449</v>
      </c>
      <c r="B2" s="451"/>
      <c r="C2" s="451"/>
      <c r="D2" s="451"/>
      <c r="E2" s="241"/>
      <c r="F2" s="241"/>
      <c r="G2" s="241"/>
      <c r="H2" s="241"/>
      <c r="I2" s="241"/>
      <c r="J2" s="241"/>
      <c r="K2" s="241"/>
      <c r="L2" s="241"/>
      <c r="M2" s="241"/>
      <c r="N2" s="460"/>
      <c r="O2" s="460"/>
      <c r="P2" s="460"/>
      <c r="Q2" s="460"/>
      <c r="R2" s="460"/>
      <c r="S2" s="460"/>
      <c r="T2" s="460"/>
    </row>
    <row r="3" spans="1:20" x14ac:dyDescent="0.35">
      <c r="N3" s="378"/>
      <c r="O3" s="378"/>
      <c r="P3" s="378"/>
      <c r="Q3" s="378"/>
      <c r="R3" s="378"/>
      <c r="S3" s="378"/>
      <c r="T3" s="378"/>
    </row>
    <row r="4" spans="1:20" ht="35" customHeight="1" x14ac:dyDescent="0.6">
      <c r="A4" s="456" t="s">
        <v>449</v>
      </c>
      <c r="B4" s="456"/>
      <c r="C4" s="456"/>
      <c r="D4" s="456"/>
      <c r="E4" s="456"/>
      <c r="F4" s="456"/>
      <c r="G4" s="456"/>
      <c r="H4" s="456"/>
      <c r="I4" s="456"/>
      <c r="J4" s="456"/>
      <c r="K4" s="456"/>
      <c r="L4" s="456"/>
      <c r="M4" s="456"/>
      <c r="N4" s="461"/>
      <c r="O4" s="461"/>
      <c r="P4" s="461"/>
      <c r="Q4" s="461"/>
      <c r="R4" s="461"/>
      <c r="S4" s="461"/>
      <c r="T4" s="461"/>
    </row>
    <row r="5" spans="1:20" ht="21" customHeight="1" x14ac:dyDescent="0.35">
      <c r="H5" s="458"/>
      <c r="I5" s="458"/>
      <c r="J5" s="458"/>
      <c r="K5" s="459" t="s">
        <v>452</v>
      </c>
      <c r="N5" s="378"/>
      <c r="O5" s="378"/>
      <c r="P5" s="378"/>
      <c r="Q5" s="378"/>
      <c r="R5" s="378"/>
      <c r="S5" s="378"/>
      <c r="T5" s="378"/>
    </row>
    <row r="6" spans="1:20" ht="15" customHeight="1" x14ac:dyDescent="0.35">
      <c r="H6" s="459" t="s">
        <v>321</v>
      </c>
      <c r="I6" s="459" t="s">
        <v>453</v>
      </c>
      <c r="J6" s="459" t="s">
        <v>454</v>
      </c>
      <c r="K6" s="459" t="s">
        <v>455</v>
      </c>
      <c r="N6" s="378"/>
      <c r="O6" s="378"/>
      <c r="P6" s="378"/>
      <c r="Q6" s="378"/>
      <c r="R6" s="378"/>
      <c r="S6" s="378"/>
      <c r="T6" s="378"/>
    </row>
    <row r="7" spans="1:20" ht="18" customHeight="1" x14ac:dyDescent="0.35">
      <c r="B7" s="18" t="s">
        <v>450</v>
      </c>
      <c r="H7" s="322">
        <f>MAX(Comp!K22:K24)</f>
        <v>1564.5125773404905</v>
      </c>
      <c r="I7" s="322">
        <v>1361.2039571521329</v>
      </c>
      <c r="J7" s="322">
        <f>Beta!K7</f>
        <v>1744.85</v>
      </c>
      <c r="K7" s="322">
        <f>MAX(I32:I34)</f>
        <v>2001</v>
      </c>
      <c r="N7" s="378"/>
      <c r="O7" s="378"/>
      <c r="P7" s="378"/>
      <c r="Q7" s="378"/>
      <c r="R7" s="378"/>
      <c r="S7" s="378"/>
      <c r="T7" s="378"/>
    </row>
    <row r="8" spans="1:20" ht="18" customHeight="1" x14ac:dyDescent="0.35">
      <c r="B8" s="18" t="s">
        <v>450</v>
      </c>
      <c r="H8" s="322">
        <f>H7</f>
        <v>1564.5125773404905</v>
      </c>
      <c r="I8" s="322">
        <f>I7</f>
        <v>1361.2039571521329</v>
      </c>
      <c r="J8" s="322">
        <f>J7</f>
        <v>1744.85</v>
      </c>
      <c r="K8" s="322">
        <f>K7</f>
        <v>2001</v>
      </c>
      <c r="N8" s="378"/>
      <c r="O8" s="378"/>
      <c r="P8" s="378"/>
      <c r="Q8" s="378"/>
      <c r="R8" s="378"/>
      <c r="S8" s="378"/>
      <c r="T8" s="378"/>
    </row>
    <row r="9" spans="1:20" ht="18" customHeight="1" x14ac:dyDescent="0.35">
      <c r="B9" s="18" t="s">
        <v>451</v>
      </c>
      <c r="H9" s="322">
        <f>MIN(Comp!K22:K24)</f>
        <v>647.46216819360188</v>
      </c>
      <c r="I9" s="322">
        <v>692.81230635439488</v>
      </c>
      <c r="J9" s="322">
        <f>Beta!K6</f>
        <v>351.1</v>
      </c>
      <c r="K9" s="322">
        <f>MIN(I32:I34)</f>
        <v>1395</v>
      </c>
      <c r="N9" s="378"/>
      <c r="O9" s="378"/>
      <c r="P9" s="378"/>
      <c r="Q9" s="378"/>
      <c r="R9" s="378"/>
      <c r="S9" s="378"/>
      <c r="T9" s="378"/>
    </row>
    <row r="10" spans="1:20" ht="18" customHeight="1" x14ac:dyDescent="0.35">
      <c r="B10" s="18" t="s">
        <v>451</v>
      </c>
      <c r="H10" s="322">
        <f>H9</f>
        <v>647.46216819360188</v>
      </c>
      <c r="I10" s="322">
        <f>I9</f>
        <v>692.81230635439488</v>
      </c>
      <c r="J10" s="322">
        <f>J9</f>
        <v>351.1</v>
      </c>
      <c r="K10" s="322">
        <f>K9</f>
        <v>1395</v>
      </c>
      <c r="N10" s="378"/>
      <c r="O10" s="378"/>
      <c r="P10" s="378"/>
      <c r="Q10" s="378"/>
      <c r="R10" s="378"/>
      <c r="S10" s="378"/>
      <c r="T10" s="378"/>
    </row>
    <row r="11" spans="1:20" x14ac:dyDescent="0.35">
      <c r="N11" s="378"/>
      <c r="O11" s="378"/>
      <c r="P11" s="378"/>
      <c r="Q11" s="378"/>
      <c r="R11" s="378"/>
      <c r="S11" s="378"/>
      <c r="T11" s="378"/>
    </row>
    <row r="12" spans="1:20" ht="18" customHeight="1" x14ac:dyDescent="0.55000000000000004">
      <c r="A12" s="445" t="s">
        <v>448</v>
      </c>
      <c r="B12" s="445"/>
      <c r="C12" s="445"/>
      <c r="D12" s="457"/>
      <c r="E12" s="457"/>
      <c r="F12" s="457"/>
      <c r="G12" s="457"/>
      <c r="H12" s="457"/>
      <c r="I12" s="457"/>
      <c r="J12" s="457"/>
      <c r="K12" s="457"/>
      <c r="L12" s="457"/>
      <c r="M12" s="457"/>
      <c r="N12" s="462"/>
      <c r="O12" s="462"/>
      <c r="P12" s="462"/>
      <c r="Q12" s="462"/>
      <c r="R12" s="462"/>
      <c r="S12" s="462"/>
      <c r="T12" s="462"/>
    </row>
    <row r="31" spans="1:12" x14ac:dyDescent="0.35">
      <c r="A31" s="292" t="s">
        <v>458</v>
      </c>
      <c r="B31" s="23"/>
      <c r="C31" s="23"/>
      <c r="D31" s="23"/>
      <c r="E31" s="296" t="s">
        <v>253</v>
      </c>
      <c r="F31" s="23"/>
      <c r="G31" s="23"/>
      <c r="H31" s="296" t="s">
        <v>459</v>
      </c>
      <c r="I31" s="296" t="s">
        <v>269</v>
      </c>
      <c r="J31" s="296"/>
      <c r="K31" s="296"/>
      <c r="L31" s="296"/>
    </row>
    <row r="32" spans="1:12" ht="18.5" x14ac:dyDescent="0.45">
      <c r="A32" s="471" t="s">
        <v>460</v>
      </c>
      <c r="B32" s="471"/>
      <c r="C32" s="471"/>
      <c r="D32" s="471"/>
      <c r="E32" s="472">
        <v>46066</v>
      </c>
      <c r="F32" s="471"/>
      <c r="G32" s="471"/>
      <c r="H32" s="473">
        <v>1295</v>
      </c>
      <c r="I32" s="473">
        <v>2001</v>
      </c>
    </row>
    <row r="33" spans="1:9" ht="18.5" x14ac:dyDescent="0.45">
      <c r="A33" s="471" t="s">
        <v>461</v>
      </c>
      <c r="B33" s="471"/>
      <c r="C33" s="471"/>
      <c r="D33" s="471"/>
      <c r="E33" s="474">
        <v>45974</v>
      </c>
      <c r="F33" s="471"/>
      <c r="G33" s="471"/>
      <c r="H33" s="473">
        <v>1240</v>
      </c>
      <c r="I33" s="473">
        <v>1395</v>
      </c>
    </row>
    <row r="34" spans="1:9" ht="18.5" x14ac:dyDescent="0.45">
      <c r="A34" s="475" t="s">
        <v>462</v>
      </c>
      <c r="B34" s="471"/>
      <c r="C34" s="471"/>
      <c r="D34" s="471"/>
      <c r="E34" s="475">
        <v>46002</v>
      </c>
      <c r="F34" s="471"/>
      <c r="G34" s="471"/>
      <c r="H34" s="473">
        <v>987</v>
      </c>
      <c r="I34" s="473">
        <v>1540</v>
      </c>
    </row>
  </sheetData>
  <pageMargins left="0.7" right="0.7" top="0.75" bottom="0.75" header="0.3" footer="0.3"/>
  <pageSetup orientation="portrait" r:id="rId1"/>
  <ignoredErrors>
    <ignoredError sqref="J9:J11 K9 H9"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
  <sheetViews>
    <sheetView showGridLines="0" workbookViewId="0">
      <selection activeCell="H2" sqref="H2"/>
    </sheetView>
  </sheetViews>
  <sheetFormatPr defaultColWidth="8.81640625" defaultRowHeight="14.5" x14ac:dyDescent="0.35"/>
  <cols>
    <col min="1" max="3" width="1.81640625" customWidth="1"/>
    <col min="4" max="4" width="32.453125" customWidth="1"/>
    <col min="5" max="5" width="17.36328125" customWidth="1"/>
    <col min="6" max="6" width="8.36328125" customWidth="1"/>
    <col min="7" max="7" width="5.08984375" customWidth="1"/>
    <col min="9" max="9" width="8.6328125"/>
    <col min="10" max="10" width="9.453125" customWidth="1"/>
    <col min="11" max="11" width="11.36328125" customWidth="1"/>
    <col min="12" max="12" width="10.6328125" customWidth="1"/>
  </cols>
  <sheetData>
    <row r="1" spans="1:21" ht="32" x14ac:dyDescent="0.7">
      <c r="A1" s="161" t="str">
        <f>Model!A1</f>
        <v>Neogen Chemicals Limited</v>
      </c>
      <c r="B1" s="23"/>
      <c r="C1" s="23"/>
      <c r="D1" s="23"/>
      <c r="E1" s="23"/>
      <c r="F1" s="23"/>
      <c r="G1" s="23"/>
      <c r="H1" s="23"/>
      <c r="I1" s="23"/>
      <c r="J1" s="23"/>
      <c r="K1" s="23"/>
      <c r="L1" s="23"/>
      <c r="M1" s="23"/>
      <c r="N1" s="23"/>
      <c r="O1" s="23"/>
      <c r="P1" s="23"/>
      <c r="Q1" s="23"/>
      <c r="R1" s="23"/>
      <c r="S1" s="23"/>
      <c r="T1" s="23"/>
    </row>
    <row r="2" spans="1:21" ht="15.5" x14ac:dyDescent="0.35">
      <c r="A2" s="24" t="s">
        <v>281</v>
      </c>
      <c r="B2" s="23"/>
      <c r="C2" s="23"/>
      <c r="D2" s="23"/>
      <c r="E2" s="23"/>
      <c r="F2" s="23"/>
      <c r="G2" s="23"/>
      <c r="H2" s="23"/>
      <c r="I2" s="23"/>
      <c r="J2" s="23"/>
      <c r="K2" s="23"/>
      <c r="L2" s="23"/>
      <c r="M2" s="23"/>
      <c r="N2" s="23"/>
      <c r="O2" s="23"/>
      <c r="P2" s="23"/>
      <c r="Q2" s="23"/>
      <c r="R2" s="23"/>
      <c r="S2" s="23"/>
      <c r="T2" s="23"/>
    </row>
    <row r="3" spans="1:21" ht="16" x14ac:dyDescent="0.4">
      <c r="A3" s="123"/>
      <c r="B3" s="123"/>
      <c r="C3" s="123"/>
      <c r="D3" s="123"/>
      <c r="E3" s="123"/>
      <c r="F3" s="123"/>
      <c r="H3" s="175" t="s">
        <v>282</v>
      </c>
      <c r="I3" s="175" t="s">
        <v>282</v>
      </c>
      <c r="J3" s="175" t="s">
        <v>283</v>
      </c>
      <c r="K3" s="175" t="s">
        <v>283</v>
      </c>
      <c r="L3" s="175" t="s">
        <v>283</v>
      </c>
      <c r="M3" s="175" t="s">
        <v>283</v>
      </c>
      <c r="N3" s="175" t="s">
        <v>283</v>
      </c>
      <c r="O3" s="175" t="s">
        <v>283</v>
      </c>
      <c r="P3" s="175" t="s">
        <v>283</v>
      </c>
      <c r="Q3" s="175" t="s">
        <v>283</v>
      </c>
    </row>
    <row r="4" spans="1:21" ht="15.5" x14ac:dyDescent="0.35">
      <c r="A4" s="123"/>
      <c r="B4" s="123"/>
      <c r="C4" s="123"/>
      <c r="D4" s="543" t="s">
        <v>396</v>
      </c>
      <c r="E4" s="544" t="s">
        <v>495</v>
      </c>
      <c r="F4" s="537"/>
      <c r="H4" s="176">
        <f>Model!M2</f>
        <v>2026</v>
      </c>
      <c r="I4" s="176">
        <f>Model!N2</f>
        <v>2027</v>
      </c>
      <c r="J4" s="176">
        <f>Model!O2</f>
        <v>2028</v>
      </c>
      <c r="K4" s="176">
        <f>Model!P2</f>
        <v>2029</v>
      </c>
      <c r="L4" s="176">
        <f>Model!Q2</f>
        <v>2030</v>
      </c>
      <c r="M4" s="176">
        <f>Model!R2</f>
        <v>2031</v>
      </c>
      <c r="N4" s="176">
        <f>Model!S2</f>
        <v>2032</v>
      </c>
      <c r="O4" s="176">
        <f>Model!T2</f>
        <v>2033</v>
      </c>
      <c r="P4" s="176">
        <f>Model!U2</f>
        <v>2034</v>
      </c>
      <c r="Q4" s="176">
        <f>Model!V2</f>
        <v>2035</v>
      </c>
    </row>
    <row r="5" spans="1:21" ht="15.5" x14ac:dyDescent="0.35">
      <c r="A5" s="123"/>
      <c r="B5" s="123"/>
      <c r="C5" s="123"/>
      <c r="D5" s="539" t="s">
        <v>397</v>
      </c>
      <c r="E5" s="540">
        <v>7.0000000000000007E-2</v>
      </c>
      <c r="H5" s="177">
        <f>E5</f>
        <v>7.0000000000000007E-2</v>
      </c>
      <c r="I5" s="397">
        <f t="shared" ref="I5:Q5" si="0">H5*(1-$E$8)</f>
        <v>6.5799999999999997E-2</v>
      </c>
      <c r="J5" s="397">
        <f t="shared" si="0"/>
        <v>6.1851999999999997E-2</v>
      </c>
      <c r="K5" s="397">
        <f t="shared" si="0"/>
        <v>5.8140879999999992E-2</v>
      </c>
      <c r="L5" s="397">
        <f t="shared" si="0"/>
        <v>5.4652427199999992E-2</v>
      </c>
      <c r="M5" s="397">
        <f t="shared" si="0"/>
        <v>5.1373281567999987E-2</v>
      </c>
      <c r="N5" s="397">
        <f t="shared" si="0"/>
        <v>4.8290884673919988E-2</v>
      </c>
      <c r="O5" s="397">
        <f t="shared" si="0"/>
        <v>4.5393431593484787E-2</v>
      </c>
      <c r="P5" s="397">
        <f t="shared" si="0"/>
        <v>4.2669825697875696E-2</v>
      </c>
      <c r="Q5" s="397">
        <f t="shared" si="0"/>
        <v>4.0109636156003152E-2</v>
      </c>
      <c r="U5" s="115"/>
    </row>
    <row r="6" spans="1:21" ht="15.5" x14ac:dyDescent="0.35">
      <c r="A6" s="123"/>
      <c r="B6" s="123"/>
      <c r="C6" s="123"/>
      <c r="D6" s="542" t="s">
        <v>284</v>
      </c>
      <c r="E6" s="541">
        <f>E5+5%</f>
        <v>0.12000000000000001</v>
      </c>
      <c r="H6" s="397">
        <f>E6</f>
        <v>0.12000000000000001</v>
      </c>
      <c r="I6" s="177">
        <f t="shared" ref="I6:Q6" si="1">H6*(1-$E$8)</f>
        <v>0.1128</v>
      </c>
      <c r="J6" s="177">
        <f t="shared" si="1"/>
        <v>0.10603199999999999</v>
      </c>
      <c r="K6" s="177">
        <f t="shared" si="1"/>
        <v>9.967007999999998E-2</v>
      </c>
      <c r="L6" s="177">
        <f t="shared" si="1"/>
        <v>9.3689875199999981E-2</v>
      </c>
      <c r="M6" s="177">
        <f t="shared" si="1"/>
        <v>8.806848268799998E-2</v>
      </c>
      <c r="N6" s="177">
        <f t="shared" si="1"/>
        <v>8.278437372671997E-2</v>
      </c>
      <c r="O6" s="177">
        <f t="shared" si="1"/>
        <v>7.7817311303116768E-2</v>
      </c>
      <c r="P6" s="177">
        <f t="shared" si="1"/>
        <v>7.3148272624929761E-2</v>
      </c>
      <c r="Q6" s="177">
        <f t="shared" si="1"/>
        <v>6.8759376267433975E-2</v>
      </c>
      <c r="U6" s="115"/>
    </row>
    <row r="7" spans="1:21" ht="15.5" x14ac:dyDescent="0.35">
      <c r="A7" s="123"/>
      <c r="B7" s="123"/>
      <c r="C7" s="123"/>
      <c r="D7" s="542" t="s">
        <v>398</v>
      </c>
      <c r="E7" s="541">
        <f>E5-5%</f>
        <v>2.0000000000000004E-2</v>
      </c>
      <c r="H7" s="177">
        <f>E7</f>
        <v>2.0000000000000004E-2</v>
      </c>
      <c r="I7" s="177">
        <f t="shared" ref="I7:Q7" si="2">H7*(1-$E$8)</f>
        <v>1.8800000000000004E-2</v>
      </c>
      <c r="J7" s="177">
        <f t="shared" si="2"/>
        <v>1.7672000000000004E-2</v>
      </c>
      <c r="K7" s="177">
        <f t="shared" si="2"/>
        <v>1.6611680000000004E-2</v>
      </c>
      <c r="L7" s="177">
        <f t="shared" si="2"/>
        <v>1.5614979200000002E-2</v>
      </c>
      <c r="M7" s="177">
        <f t="shared" si="2"/>
        <v>1.4678080448000001E-2</v>
      </c>
      <c r="N7" s="177">
        <f t="shared" si="2"/>
        <v>1.379739562112E-2</v>
      </c>
      <c r="O7" s="177">
        <f t="shared" si="2"/>
        <v>1.2969551883852799E-2</v>
      </c>
      <c r="P7" s="177">
        <f t="shared" si="2"/>
        <v>1.2191378770821631E-2</v>
      </c>
      <c r="Q7" s="177">
        <f t="shared" si="2"/>
        <v>1.1459896044572333E-2</v>
      </c>
      <c r="U7" s="115"/>
    </row>
    <row r="8" spans="1:21" ht="16" x14ac:dyDescent="0.4">
      <c r="A8" s="123"/>
      <c r="B8" s="123"/>
      <c r="C8" s="123"/>
      <c r="D8" s="545" t="s">
        <v>494</v>
      </c>
      <c r="E8" s="538">
        <v>0.06</v>
      </c>
      <c r="G8" s="534"/>
      <c r="H8" s="123"/>
      <c r="I8" s="123"/>
      <c r="J8" s="123"/>
      <c r="K8" s="123"/>
      <c r="L8" s="123"/>
      <c r="M8" s="123"/>
      <c r="N8" s="123"/>
      <c r="O8" s="123"/>
      <c r="P8" s="123"/>
      <c r="Q8" s="123"/>
      <c r="R8" s="123"/>
      <c r="S8" s="123"/>
      <c r="T8" s="123"/>
    </row>
    <row r="9" spans="1:21" ht="15.5" x14ac:dyDescent="0.35">
      <c r="C9" s="123"/>
      <c r="D9" s="585"/>
      <c r="E9" s="585"/>
      <c r="F9" s="535"/>
      <c r="G9" s="536"/>
    </row>
    <row r="13" spans="1:21" x14ac:dyDescent="0.35">
      <c r="J13" t="s">
        <v>493</v>
      </c>
    </row>
  </sheetData>
  <mergeCells count="1">
    <mergeCell ref="D9:E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showGridLines="0" workbookViewId="0">
      <selection activeCell="Q32" sqref="Q32"/>
    </sheetView>
  </sheetViews>
  <sheetFormatPr defaultColWidth="8.81640625" defaultRowHeight="14.5" x14ac:dyDescent="0.35"/>
  <cols>
    <col min="1" max="2" width="1.81640625" customWidth="1"/>
    <col min="3" max="4" width="18.81640625" bestFit="1" customWidth="1"/>
    <col min="5" max="5" width="17" bestFit="1" customWidth="1"/>
    <col min="7" max="7" width="9.81640625" bestFit="1" customWidth="1"/>
    <col min="8" max="8" width="10" bestFit="1" customWidth="1"/>
    <col min="9" max="10" width="14.1796875" bestFit="1" customWidth="1"/>
    <col min="11" max="12" width="15.36328125" bestFit="1" customWidth="1"/>
    <col min="13" max="13" width="10.36328125" bestFit="1" customWidth="1"/>
    <col min="14" max="14" width="13.1796875" bestFit="1" customWidth="1"/>
    <col min="15" max="15" width="9.453125" bestFit="1" customWidth="1"/>
    <col min="16" max="16" width="9.6328125" bestFit="1" customWidth="1"/>
    <col min="18" max="18" width="12.36328125" bestFit="1" customWidth="1"/>
  </cols>
  <sheetData>
    <row r="1" spans="1:21" ht="32" x14ac:dyDescent="0.7">
      <c r="A1" s="161" t="str">
        <f>Model!A1</f>
        <v>Neogen Chemicals Limited</v>
      </c>
      <c r="B1" s="23"/>
      <c r="C1" s="23"/>
      <c r="D1" s="23"/>
      <c r="E1" s="23"/>
      <c r="F1" s="23"/>
      <c r="G1" s="23"/>
      <c r="H1" s="23"/>
      <c r="I1" s="23"/>
      <c r="J1" s="23"/>
      <c r="K1" s="23"/>
      <c r="L1" s="23"/>
      <c r="M1" s="23"/>
      <c r="N1" s="23"/>
      <c r="O1" s="23"/>
      <c r="P1" s="23"/>
      <c r="Q1" s="23"/>
      <c r="R1" s="23"/>
      <c r="S1" s="23"/>
      <c r="T1" s="23"/>
      <c r="U1" s="23"/>
    </row>
    <row r="2" spans="1:21" ht="15.5" x14ac:dyDescent="0.35">
      <c r="A2" s="24" t="s">
        <v>305</v>
      </c>
      <c r="B2" s="23"/>
      <c r="C2" s="23"/>
      <c r="D2" s="23"/>
      <c r="E2" s="23"/>
      <c r="F2" s="23"/>
      <c r="G2" s="23"/>
      <c r="H2" s="23"/>
      <c r="I2" s="23"/>
      <c r="J2" s="23"/>
      <c r="K2" s="23"/>
      <c r="L2" s="23"/>
      <c r="M2" s="23"/>
      <c r="N2" s="23"/>
      <c r="O2" s="23"/>
      <c r="P2" s="23"/>
      <c r="Q2" s="23"/>
      <c r="R2" s="23"/>
      <c r="S2" s="23"/>
      <c r="T2" s="23"/>
      <c r="U2" s="23"/>
    </row>
    <row r="3" spans="1:21" ht="15.5" x14ac:dyDescent="0.35">
      <c r="A3" s="194"/>
      <c r="B3" s="194"/>
      <c r="C3" s="194"/>
      <c r="D3" s="194"/>
      <c r="E3" s="194"/>
      <c r="F3" s="194"/>
      <c r="G3" s="194"/>
      <c r="H3" s="194"/>
      <c r="I3" s="194"/>
      <c r="J3" s="194"/>
      <c r="K3" s="194"/>
      <c r="L3" s="194"/>
      <c r="M3" s="194"/>
      <c r="N3" s="194"/>
      <c r="O3" s="194"/>
      <c r="P3" s="194"/>
      <c r="Q3" s="194"/>
      <c r="R3" s="194"/>
      <c r="S3" s="194"/>
      <c r="T3" s="194"/>
      <c r="U3" s="194"/>
    </row>
    <row r="4" spans="1:21" ht="15.5" x14ac:dyDescent="0.35">
      <c r="A4" s="194"/>
      <c r="B4" s="194"/>
      <c r="C4" s="194"/>
      <c r="D4" s="194"/>
      <c r="E4" s="194"/>
      <c r="F4" s="194"/>
      <c r="G4" s="195"/>
      <c r="H4" s="194"/>
      <c r="I4" s="194"/>
      <c r="J4" s="194"/>
      <c r="K4" s="194"/>
      <c r="L4" s="194"/>
      <c r="M4" s="194"/>
      <c r="N4" s="194"/>
      <c r="O4" s="194"/>
      <c r="P4" s="194"/>
      <c r="Q4" s="194"/>
      <c r="R4" s="194"/>
      <c r="S4" s="194"/>
      <c r="T4" s="194"/>
    </row>
    <row r="5" spans="1:21" ht="16" x14ac:dyDescent="0.35">
      <c r="A5" s="227"/>
      <c r="B5" s="227"/>
      <c r="C5" s="217"/>
      <c r="D5" s="218"/>
      <c r="E5" s="218"/>
      <c r="F5" s="218"/>
      <c r="G5" s="219" t="s">
        <v>306</v>
      </c>
      <c r="H5" s="219"/>
      <c r="I5" s="220"/>
      <c r="J5" s="220"/>
      <c r="K5" s="220"/>
      <c r="L5" s="220"/>
      <c r="M5" s="217"/>
      <c r="N5" s="219" t="s">
        <v>307</v>
      </c>
      <c r="O5" s="220"/>
      <c r="P5" s="219"/>
      <c r="Q5" s="217"/>
      <c r="R5" s="219" t="s">
        <v>308</v>
      </c>
      <c r="S5" s="220"/>
      <c r="T5" s="219"/>
      <c r="U5" s="160"/>
    </row>
    <row r="6" spans="1:21" ht="16" x14ac:dyDescent="0.35">
      <c r="A6" s="227"/>
      <c r="B6" s="227"/>
      <c r="C6" s="221"/>
      <c r="D6" s="218"/>
      <c r="E6" s="218"/>
      <c r="F6" s="218"/>
      <c r="G6" s="222" t="s">
        <v>288</v>
      </c>
      <c r="H6" s="222" t="s">
        <v>289</v>
      </c>
      <c r="I6" s="222" t="s">
        <v>266</v>
      </c>
      <c r="J6" s="223" t="s">
        <v>199</v>
      </c>
      <c r="K6" s="222" t="s">
        <v>185</v>
      </c>
      <c r="L6" s="222" t="s">
        <v>309</v>
      </c>
      <c r="M6" s="222"/>
      <c r="N6" s="222" t="s">
        <v>290</v>
      </c>
      <c r="O6" s="222" t="s">
        <v>175</v>
      </c>
      <c r="P6" s="222" t="s">
        <v>310</v>
      </c>
      <c r="Q6" s="224"/>
      <c r="R6" s="222" t="s">
        <v>311</v>
      </c>
      <c r="S6" s="222" t="s">
        <v>278</v>
      </c>
      <c r="T6" s="222" t="s">
        <v>312</v>
      </c>
      <c r="U6" s="160"/>
    </row>
    <row r="7" spans="1:21" ht="13" customHeight="1" x14ac:dyDescent="0.35">
      <c r="A7" s="227"/>
      <c r="B7" s="227"/>
      <c r="C7" s="221" t="s">
        <v>313</v>
      </c>
      <c r="D7" s="218"/>
      <c r="E7" s="223" t="s">
        <v>287</v>
      </c>
      <c r="F7" s="218"/>
      <c r="G7" s="218" t="s">
        <v>314</v>
      </c>
      <c r="H7" s="225" t="s">
        <v>315</v>
      </c>
      <c r="I7" s="226" t="s">
        <v>316</v>
      </c>
      <c r="J7" s="218"/>
      <c r="K7" s="222" t="s">
        <v>317</v>
      </c>
      <c r="L7" s="226" t="s">
        <v>316</v>
      </c>
      <c r="M7" s="222"/>
      <c r="N7" s="226" t="s">
        <v>316</v>
      </c>
      <c r="O7" s="226" t="s">
        <v>316</v>
      </c>
      <c r="P7" s="226" t="s">
        <v>316</v>
      </c>
      <c r="Q7" s="224"/>
      <c r="R7" s="224" t="s">
        <v>318</v>
      </c>
      <c r="S7" s="224" t="s">
        <v>318</v>
      </c>
      <c r="T7" s="224" t="s">
        <v>318</v>
      </c>
      <c r="U7" s="160"/>
    </row>
    <row r="8" spans="1:21" ht="19" customHeight="1" x14ac:dyDescent="0.35">
      <c r="A8" s="194"/>
      <c r="B8" s="194"/>
      <c r="C8" s="214" t="str">
        <f>'Comps Data'!D8</f>
        <v xml:space="preserve">  Navin Fluorine International</v>
      </c>
      <c r="D8" s="215"/>
      <c r="E8" s="216" t="str">
        <f>'Comps Data'!H8</f>
        <v>NAVINFLUOR</v>
      </c>
      <c r="F8" s="199"/>
      <c r="G8" s="385">
        <f>'Comps Data'!I8</f>
        <v>7011</v>
      </c>
      <c r="H8" s="199">
        <f>'Comps Data'!J8</f>
        <v>5.13</v>
      </c>
      <c r="I8" s="200">
        <f>PRODUCT(Comp!G8:H8)</f>
        <v>35966.43</v>
      </c>
      <c r="J8" s="201">
        <f>'Comps Data'!K8</f>
        <v>1176.72</v>
      </c>
      <c r="K8" s="201">
        <f>'Comps Data'!L8</f>
        <v>72.150000000000006</v>
      </c>
      <c r="L8" s="202">
        <f t="shared" ref="L8:L13" si="0">SUM(I8:J8)-K8</f>
        <v>37071</v>
      </c>
      <c r="M8" s="203"/>
      <c r="N8" s="201">
        <f>'Comps Data'!M8</f>
        <v>3077.13</v>
      </c>
      <c r="O8" s="201">
        <f>'Comps Data'!N8</f>
        <v>855.53</v>
      </c>
      <c r="P8" s="201">
        <f>'Comps Data'!O8</f>
        <v>545.89</v>
      </c>
      <c r="Q8" s="204"/>
      <c r="R8" s="205">
        <f t="shared" ref="R8:R13" si="1">L8/N8</f>
        <v>12.047264821440757</v>
      </c>
      <c r="S8" s="205">
        <f t="shared" ref="S8:S13" si="2">L8/O8</f>
        <v>43.331034563370075</v>
      </c>
      <c r="T8" s="205">
        <f t="shared" ref="T8:T13" si="3">I8/P8</f>
        <v>65.885856124860325</v>
      </c>
    </row>
    <row r="9" spans="1:21" ht="15.5" x14ac:dyDescent="0.35">
      <c r="A9" s="194"/>
      <c r="B9" s="194"/>
      <c r="C9" s="214" t="str">
        <f>'Comps Data'!D9</f>
        <v xml:space="preserve">  Gujarat Fluorochemicals</v>
      </c>
      <c r="D9" s="215"/>
      <c r="E9" s="216" t="str">
        <f>'Comps Data'!H9</f>
        <v>FLUOROCHEM</v>
      </c>
      <c r="F9" s="199"/>
      <c r="G9" s="385">
        <f>'Comps Data'!I9</f>
        <v>3674</v>
      </c>
      <c r="H9" s="199">
        <f>'Comps Data'!J9</f>
        <v>10.98</v>
      </c>
      <c r="I9" s="200">
        <f>PRODUCT(Comp!G9:H9)</f>
        <v>40340.520000000004</v>
      </c>
      <c r="J9" s="201">
        <f>'Comps Data'!K9</f>
        <v>1722</v>
      </c>
      <c r="K9" s="201">
        <f>'Comps Data'!L9</f>
        <v>188</v>
      </c>
      <c r="L9" s="202">
        <f t="shared" si="0"/>
        <v>41874.520000000004</v>
      </c>
      <c r="M9" s="203"/>
      <c r="N9" s="201">
        <f>'Comps Data'!M9</f>
        <v>4852</v>
      </c>
      <c r="O9" s="201">
        <f>'Comps Data'!N9</f>
        <v>992</v>
      </c>
      <c r="P9" s="201">
        <f>'Comps Data'!O9</f>
        <v>656</v>
      </c>
      <c r="Q9" s="204"/>
      <c r="R9" s="205">
        <f t="shared" si="1"/>
        <v>8.6303627370156644</v>
      </c>
      <c r="S9" s="205">
        <f t="shared" si="2"/>
        <v>42.21221774193549</v>
      </c>
      <c r="T9" s="205">
        <f t="shared" si="3"/>
        <v>61.494695121951224</v>
      </c>
    </row>
    <row r="10" spans="1:21" ht="15.5" x14ac:dyDescent="0.35">
      <c r="A10" s="194"/>
      <c r="B10" s="194"/>
      <c r="C10" s="214" t="str">
        <f>'Comps Data'!D10</f>
        <v xml:space="preserve">  Aarti Industries</v>
      </c>
      <c r="D10" s="215"/>
      <c r="E10" s="216" t="str">
        <f>'Comps Data'!H10</f>
        <v>AARTIIND</v>
      </c>
      <c r="F10" s="199"/>
      <c r="G10" s="385">
        <f>'Comps Data'!I10</f>
        <v>470</v>
      </c>
      <c r="H10" s="199">
        <f>'Comps Data'!J10</f>
        <v>36.26</v>
      </c>
      <c r="I10" s="200">
        <f>PRODUCT(Comp!G10:H10)</f>
        <v>17042.2</v>
      </c>
      <c r="J10" s="201">
        <f>'Comps Data'!K10</f>
        <v>3973</v>
      </c>
      <c r="K10" s="201">
        <f>'Comps Data'!L10</f>
        <v>169</v>
      </c>
      <c r="L10" s="202">
        <f t="shared" si="0"/>
        <v>20846.2</v>
      </c>
      <c r="M10" s="203"/>
      <c r="N10" s="201">
        <f>'Comps Data'!M10</f>
        <v>8042</v>
      </c>
      <c r="O10" s="201">
        <f>'Comps Data'!N10</f>
        <v>627</v>
      </c>
      <c r="P10" s="201">
        <f>'Comps Data'!O10</f>
        <v>378</v>
      </c>
      <c r="Q10" s="204"/>
      <c r="R10" s="205">
        <f t="shared" si="1"/>
        <v>2.5921661278288983</v>
      </c>
      <c r="S10" s="205">
        <f t="shared" si="2"/>
        <v>33.247527910685804</v>
      </c>
      <c r="T10" s="205">
        <f t="shared" si="3"/>
        <v>45.085185185185189</v>
      </c>
    </row>
    <row r="11" spans="1:21" ht="15.5" x14ac:dyDescent="0.35">
      <c r="A11" s="194"/>
      <c r="B11" s="194"/>
      <c r="C11" s="214" t="str">
        <f>'Comps Data'!D11</f>
        <v xml:space="preserve">  Atul Ltd</v>
      </c>
      <c r="D11" s="215"/>
      <c r="E11" s="216" t="str">
        <f>'Comps Data'!H11</f>
        <v>ATUL</v>
      </c>
      <c r="F11" s="199"/>
      <c r="G11" s="385">
        <f>'Comps Data'!I11</f>
        <v>6985</v>
      </c>
      <c r="H11" s="199">
        <f>'Comps Data'!J11</f>
        <v>2.94</v>
      </c>
      <c r="I11" s="200">
        <f>PRODUCT(Comp!G11:H11)</f>
        <v>20535.899999999998</v>
      </c>
      <c r="J11" s="201">
        <f>'Comps Data'!K11</f>
        <v>185.95</v>
      </c>
      <c r="K11" s="201">
        <f>'Comps Data'!L11</f>
        <v>82.03</v>
      </c>
      <c r="L11" s="202">
        <f t="shared" si="0"/>
        <v>20639.82</v>
      </c>
      <c r="M11" s="203"/>
      <c r="N11" s="201">
        <f>'Comps Data'!M11</f>
        <v>6055.11</v>
      </c>
      <c r="O11" s="201">
        <f>'Comps Data'!N11</f>
        <v>816.43</v>
      </c>
      <c r="P11" s="201">
        <f>'Comps Data'!O11</f>
        <v>608.4</v>
      </c>
      <c r="Q11" s="204"/>
      <c r="R11" s="205">
        <f t="shared" si="1"/>
        <v>3.4086614446310639</v>
      </c>
      <c r="S11" s="205">
        <f t="shared" si="2"/>
        <v>25.280575187095035</v>
      </c>
      <c r="T11" s="205">
        <f t="shared" si="3"/>
        <v>33.75394477317554</v>
      </c>
    </row>
    <row r="12" spans="1:21" ht="15.5" x14ac:dyDescent="0.35">
      <c r="A12" s="194"/>
      <c r="B12" s="194"/>
      <c r="C12" s="214" t="str">
        <f>'Comps Data'!D12</f>
        <v xml:space="preserve">  Deepak Nitrite</v>
      </c>
      <c r="D12" s="215"/>
      <c r="E12" s="216" t="str">
        <f>'Comps Data'!H12</f>
        <v>DEEPAKNTR</v>
      </c>
      <c r="F12" s="199"/>
      <c r="G12" s="385">
        <f>'Comps Data'!I12</f>
        <v>1837</v>
      </c>
      <c r="H12" s="199">
        <f>'Comps Data'!J12</f>
        <v>13.64</v>
      </c>
      <c r="I12" s="200">
        <f>PRODUCT(Comp!G12:H12)</f>
        <v>25056.68</v>
      </c>
      <c r="J12" s="201">
        <f>'Comps Data'!K12</f>
        <v>1243.9000000000001</v>
      </c>
      <c r="K12" s="201">
        <f>'Comps Data'!L12</f>
        <v>32.590000000000003</v>
      </c>
      <c r="L12" s="202">
        <f t="shared" si="0"/>
        <v>26267.99</v>
      </c>
      <c r="M12" s="203"/>
      <c r="N12" s="201">
        <f>'Comps Data'!M12</f>
        <v>7946.43</v>
      </c>
      <c r="O12" s="201">
        <f>'Comps Data'!N12</f>
        <v>783.74</v>
      </c>
      <c r="P12" s="201">
        <f>'Comps Data'!O12</f>
        <v>533.32000000000005</v>
      </c>
      <c r="Q12" s="204"/>
      <c r="R12" s="205">
        <f t="shared" si="1"/>
        <v>3.3056341023579141</v>
      </c>
      <c r="S12" s="205">
        <f t="shared" si="2"/>
        <v>33.516204353484575</v>
      </c>
      <c r="T12" s="205">
        <f t="shared" si="3"/>
        <v>46.982449561239029</v>
      </c>
    </row>
    <row r="13" spans="1:21" ht="15.5" x14ac:dyDescent="0.35">
      <c r="A13" s="194"/>
      <c r="B13" s="194"/>
      <c r="C13" s="214" t="str">
        <f>'Comps Data'!D13</f>
        <v xml:space="preserve">  BASF India</v>
      </c>
      <c r="D13" s="215"/>
      <c r="E13" s="216" t="str">
        <f>'Comps Data'!H13</f>
        <v>BASF</v>
      </c>
      <c r="F13" s="199"/>
      <c r="G13" s="385">
        <f>'Comps Data'!I13</f>
        <v>3796</v>
      </c>
      <c r="H13" s="199">
        <f>'Comps Data'!J13</f>
        <v>4.33</v>
      </c>
      <c r="I13" s="200">
        <f>PRODUCT(Comp!G13:H13)</f>
        <v>16436.68</v>
      </c>
      <c r="J13" s="201">
        <f>'Comps Data'!K13</f>
        <v>1243.9000000000001</v>
      </c>
      <c r="K13" s="201">
        <f>'Comps Data'!L13</f>
        <v>164.99</v>
      </c>
      <c r="L13" s="202">
        <f t="shared" si="0"/>
        <v>17515.59</v>
      </c>
      <c r="M13" s="203"/>
      <c r="N13" s="201">
        <f>'Comps Data'!M13</f>
        <v>14721.42</v>
      </c>
      <c r="O13" s="201">
        <f>'Comps Data'!N13</f>
        <v>539.71</v>
      </c>
      <c r="P13" s="201">
        <f>'Comps Data'!O13</f>
        <v>400.44</v>
      </c>
      <c r="Q13" s="204"/>
      <c r="R13" s="205">
        <f t="shared" si="1"/>
        <v>1.1898030217193722</v>
      </c>
      <c r="S13" s="205">
        <f t="shared" si="2"/>
        <v>32.453706620221972</v>
      </c>
      <c r="T13" s="205">
        <f t="shared" si="3"/>
        <v>41.046548796324046</v>
      </c>
    </row>
    <row r="14" spans="1:21" ht="15.5" x14ac:dyDescent="0.35">
      <c r="A14" s="194"/>
      <c r="B14" s="194"/>
      <c r="C14" s="196"/>
      <c r="D14" s="194"/>
      <c r="E14" s="197"/>
      <c r="F14" s="194"/>
      <c r="G14" s="198"/>
      <c r="H14" s="199"/>
      <c r="I14" s="200"/>
      <c r="J14" s="201"/>
      <c r="K14" s="201"/>
      <c r="L14" s="202"/>
      <c r="M14" s="203"/>
      <c r="N14" s="201"/>
      <c r="O14" s="201"/>
      <c r="P14" s="201"/>
      <c r="Q14" s="204"/>
      <c r="R14" s="205"/>
      <c r="S14" s="205"/>
      <c r="T14" s="205"/>
    </row>
    <row r="15" spans="1:21" ht="15.5" x14ac:dyDescent="0.35">
      <c r="A15" s="194"/>
      <c r="B15" s="194"/>
      <c r="C15" s="206"/>
      <c r="D15" s="194"/>
      <c r="E15" s="194"/>
      <c r="F15" s="194"/>
      <c r="G15" s="181"/>
      <c r="H15" s="207"/>
      <c r="I15" s="200"/>
      <c r="J15" s="181"/>
      <c r="K15" s="181"/>
      <c r="L15" s="200"/>
      <c r="M15" s="208"/>
      <c r="N15" s="181"/>
      <c r="O15" s="181"/>
      <c r="P15" s="181"/>
      <c r="Q15" s="204"/>
      <c r="R15" s="205"/>
      <c r="S15" s="205"/>
      <c r="T15" s="205"/>
    </row>
    <row r="16" spans="1:21" ht="15.5" x14ac:dyDescent="0.35">
      <c r="A16" s="194"/>
      <c r="B16" s="194"/>
      <c r="C16" s="217" t="s">
        <v>280</v>
      </c>
      <c r="D16" s="217"/>
      <c r="E16" s="217"/>
      <c r="F16" s="217"/>
      <c r="G16" s="217"/>
      <c r="H16" s="217"/>
      <c r="I16" s="217"/>
      <c r="J16" s="217"/>
      <c r="K16" s="217"/>
      <c r="L16" s="217"/>
      <c r="M16" s="217"/>
      <c r="N16" s="217"/>
      <c r="O16" s="217"/>
      <c r="P16" s="217"/>
      <c r="Q16" s="217"/>
      <c r="R16" s="228">
        <f>AVERAGE(R8:R13)</f>
        <v>5.1956487091656109</v>
      </c>
      <c r="S16" s="228">
        <f>AVERAGE(S8:S13)</f>
        <v>35.006877729465494</v>
      </c>
      <c r="T16" s="228">
        <f>AVERAGE(T8:T13)</f>
        <v>49.041446593789225</v>
      </c>
      <c r="U16" s="160"/>
    </row>
    <row r="17" spans="1:21" ht="15.5" x14ac:dyDescent="0.35">
      <c r="A17" s="194"/>
      <c r="B17" s="194"/>
      <c r="C17" s="217" t="s">
        <v>319</v>
      </c>
      <c r="D17" s="217"/>
      <c r="E17" s="217"/>
      <c r="F17" s="217"/>
      <c r="G17" s="217"/>
      <c r="H17" s="217"/>
      <c r="I17" s="217"/>
      <c r="J17" s="217"/>
      <c r="K17" s="217"/>
      <c r="L17" s="217"/>
      <c r="M17" s="217"/>
      <c r="N17" s="217"/>
      <c r="O17" s="217"/>
      <c r="P17" s="217"/>
      <c r="Q17" s="217"/>
      <c r="R17" s="228">
        <f>MEDIAN(R8:R13)</f>
        <v>3.3571477734944892</v>
      </c>
      <c r="S17" s="228">
        <f>MEDIAN(S8:S13)</f>
        <v>33.381866132085193</v>
      </c>
      <c r="T17" s="228">
        <f>MEDIAN(T8:T13)</f>
        <v>46.033817373212109</v>
      </c>
      <c r="U17" s="160"/>
    </row>
    <row r="18" spans="1:21" ht="15.5" x14ac:dyDescent="0.35">
      <c r="A18" s="194"/>
      <c r="B18" s="194"/>
      <c r="C18" s="194"/>
      <c r="D18" s="194"/>
      <c r="E18" s="194"/>
      <c r="F18" s="194"/>
      <c r="G18" s="194"/>
      <c r="H18" s="194"/>
      <c r="I18" s="194"/>
      <c r="J18" s="194"/>
      <c r="K18" s="194"/>
      <c r="L18" s="194"/>
      <c r="M18" s="194"/>
      <c r="N18" s="194"/>
      <c r="O18" s="194"/>
      <c r="P18" s="194"/>
      <c r="Q18" s="194"/>
      <c r="R18" s="194"/>
      <c r="S18" s="194"/>
      <c r="T18" s="194"/>
    </row>
    <row r="19" spans="1:21" ht="15.5" x14ac:dyDescent="0.35">
      <c r="A19" s="194"/>
      <c r="B19" s="194"/>
      <c r="C19" s="384" t="str">
        <f>A1</f>
        <v>Neogen Chemicals Limited</v>
      </c>
      <c r="D19" s="194"/>
      <c r="E19" s="194" t="str">
        <f>'Comps Data'!H6</f>
        <v>NEOGEN</v>
      </c>
      <c r="F19" s="194"/>
      <c r="G19" s="198">
        <f>'Comps Data'!I6</f>
        <v>1669.3</v>
      </c>
      <c r="H19" s="409">
        <f>'Comps Data'!J6</f>
        <v>2.6381673999999999</v>
      </c>
      <c r="I19" s="202">
        <f>PRODUCT(G19:H19)</f>
        <v>4403.8928408199999</v>
      </c>
      <c r="J19" s="201">
        <f>'Comps Data'!K6</f>
        <v>566.04</v>
      </c>
      <c r="K19" s="201">
        <f>'Comps Data'!L6</f>
        <v>442.77</v>
      </c>
      <c r="L19" s="202">
        <f>SUM(I19:J19)-K19</f>
        <v>4527.1628408199995</v>
      </c>
      <c r="M19" s="203"/>
      <c r="N19" s="198">
        <f>'Comps Data'!M6</f>
        <v>818.13</v>
      </c>
      <c r="O19" s="201">
        <f>'Comps Data'!N6</f>
        <v>109.12</v>
      </c>
      <c r="P19" s="201">
        <f>'Comps Data'!O6</f>
        <v>34.82999999999997</v>
      </c>
      <c r="Q19" s="204"/>
      <c r="R19" s="387">
        <f>L19/N19</f>
        <v>5.5335494858029888</v>
      </c>
      <c r="S19" s="205">
        <f>L19/O19</f>
        <v>41.487929259714072</v>
      </c>
      <c r="T19" s="205">
        <f>I19/P19</f>
        <v>126.43964515704863</v>
      </c>
    </row>
    <row r="20" spans="1:21" ht="15.5" x14ac:dyDescent="0.35">
      <c r="A20" s="194"/>
      <c r="B20" s="194"/>
      <c r="C20" s="194"/>
      <c r="D20" s="194"/>
      <c r="E20" s="194"/>
      <c r="F20" s="194"/>
      <c r="G20" s="194"/>
      <c r="H20" s="194"/>
      <c r="I20" s="194"/>
      <c r="J20" s="194"/>
      <c r="K20" s="194"/>
      <c r="L20" s="194"/>
      <c r="M20" s="194"/>
      <c r="N20" s="194"/>
      <c r="O20" s="194"/>
      <c r="P20" s="194"/>
      <c r="Q20" s="194"/>
      <c r="R20" s="194"/>
      <c r="S20" s="194"/>
      <c r="T20" s="194"/>
    </row>
    <row r="21" spans="1:21" ht="15.5" x14ac:dyDescent="0.35">
      <c r="A21" s="194"/>
      <c r="B21" s="209"/>
      <c r="C21" s="229" t="s">
        <v>320</v>
      </c>
      <c r="D21" s="230" t="s">
        <v>321</v>
      </c>
      <c r="E21" s="229"/>
      <c r="F21" s="229"/>
      <c r="G21" s="231" t="s">
        <v>309</v>
      </c>
      <c r="H21" s="231" t="s">
        <v>322</v>
      </c>
      <c r="I21" s="231" t="s">
        <v>274</v>
      </c>
      <c r="J21" s="231" t="s">
        <v>289</v>
      </c>
      <c r="K21" s="231" t="s">
        <v>323</v>
      </c>
      <c r="L21" s="194"/>
      <c r="M21" s="194"/>
      <c r="N21" s="194"/>
      <c r="O21" s="194"/>
      <c r="P21" s="194"/>
      <c r="Q21" s="194"/>
      <c r="R21" s="194"/>
      <c r="S21" s="194"/>
      <c r="T21" s="194"/>
    </row>
    <row r="22" spans="1:21" ht="15.5" x14ac:dyDescent="0.35">
      <c r="A22" s="194"/>
      <c r="B22" s="194"/>
      <c r="C22" s="194" t="s">
        <v>324</v>
      </c>
      <c r="D22" s="210">
        <f>R16</f>
        <v>5.1956487091656109</v>
      </c>
      <c r="E22" s="211"/>
      <c r="F22" s="194"/>
      <c r="G22" s="212">
        <f>D22*N19</f>
        <v>4250.7160784296611</v>
      </c>
      <c r="H22" s="212">
        <f>$J$19-$K$19</f>
        <v>123.26999999999998</v>
      </c>
      <c r="I22" s="212">
        <f>G22-H22</f>
        <v>4127.4460784296607</v>
      </c>
      <c r="J22" s="213">
        <f>$H$19</f>
        <v>2.6381673999999999</v>
      </c>
      <c r="K22" s="213">
        <f>I22/J22</f>
        <v>1564.5125773404905</v>
      </c>
      <c r="L22" s="194"/>
      <c r="M22" s="194"/>
      <c r="N22" s="194"/>
      <c r="O22" s="194"/>
      <c r="P22" s="194"/>
      <c r="Q22" s="194"/>
      <c r="R22" s="194"/>
      <c r="S22" s="194"/>
      <c r="T22" s="194"/>
    </row>
    <row r="23" spans="1:21" ht="15.5" x14ac:dyDescent="0.35">
      <c r="A23" s="194"/>
      <c r="B23" s="194"/>
      <c r="C23" s="194" t="s">
        <v>278</v>
      </c>
      <c r="D23" s="210">
        <f>S16</f>
        <v>35.006877729465494</v>
      </c>
      <c r="E23" s="211"/>
      <c r="F23" s="194"/>
      <c r="G23" s="212">
        <f>D23*O19</f>
        <v>3819.9504978392747</v>
      </c>
      <c r="H23" s="212">
        <f>$J$19-$K$19</f>
        <v>123.26999999999998</v>
      </c>
      <c r="I23" s="212">
        <f>G23-H23</f>
        <v>3696.6804978392747</v>
      </c>
      <c r="J23" s="213">
        <f>$H$19</f>
        <v>2.6381673999999999</v>
      </c>
      <c r="K23" s="213">
        <f>I23/J23</f>
        <v>1401.23045180502</v>
      </c>
      <c r="L23" s="194"/>
      <c r="M23" s="194"/>
      <c r="N23" s="194"/>
      <c r="O23" s="194"/>
      <c r="P23" s="194"/>
      <c r="Q23" s="194"/>
      <c r="R23" s="194"/>
      <c r="S23" s="194"/>
      <c r="T23" s="194"/>
    </row>
    <row r="24" spans="1:21" ht="15.5" x14ac:dyDescent="0.35">
      <c r="A24" s="194"/>
      <c r="B24" s="194"/>
      <c r="C24" s="194" t="s">
        <v>312</v>
      </c>
      <c r="D24" s="210">
        <f>T16</f>
        <v>49.041446593789225</v>
      </c>
      <c r="E24" s="211"/>
      <c r="F24" s="194"/>
      <c r="G24" s="212">
        <f>H24+I24</f>
        <v>1831.3835848616773</v>
      </c>
      <c r="H24" s="212">
        <f>$J$19-$K$19</f>
        <v>123.26999999999998</v>
      </c>
      <c r="I24" s="212">
        <f>D24*P19</f>
        <v>1708.1135848616773</v>
      </c>
      <c r="J24" s="213">
        <f>$H$19</f>
        <v>2.6381673999999999</v>
      </c>
      <c r="K24" s="213">
        <f>I24/J24</f>
        <v>647.46216819360188</v>
      </c>
      <c r="L24" s="194"/>
      <c r="M24" s="194"/>
      <c r="N24" s="194"/>
      <c r="O24" s="194"/>
      <c r="P24" s="194"/>
      <c r="Q24" s="194"/>
      <c r="R24" s="194"/>
      <c r="S24" s="194"/>
      <c r="T24" s="194"/>
    </row>
    <row r="25" spans="1:21" ht="15.5" x14ac:dyDescent="0.35">
      <c r="A25" s="194"/>
      <c r="B25" s="194"/>
      <c r="C25" s="194"/>
      <c r="D25" s="194"/>
      <c r="E25" s="194"/>
      <c r="F25" s="194"/>
      <c r="G25" s="194"/>
      <c r="H25" s="194"/>
      <c r="I25" s="194"/>
      <c r="J25" s="194"/>
      <c r="K25" s="194"/>
      <c r="L25" s="194"/>
      <c r="M25" s="194"/>
      <c r="N25" s="194"/>
      <c r="O25" s="194"/>
      <c r="P25" s="194"/>
      <c r="Q25" s="194"/>
      <c r="R25" s="194"/>
      <c r="S25" s="194"/>
      <c r="T25" s="194"/>
      <c r="U25" s="194"/>
    </row>
    <row r="26" spans="1:21" ht="15.5" x14ac:dyDescent="0.35">
      <c r="A26" s="194"/>
      <c r="B26" s="194"/>
      <c r="C26" s="194"/>
      <c r="D26" s="194"/>
      <c r="E26" s="194"/>
      <c r="F26" s="194"/>
      <c r="G26" s="194"/>
      <c r="H26" s="194"/>
      <c r="I26" s="194"/>
      <c r="J26" s="194"/>
      <c r="K26" s="194"/>
      <c r="L26" s="194"/>
      <c r="M26" s="194"/>
      <c r="N26" s="194"/>
      <c r="O26" s="194"/>
      <c r="P26" s="194"/>
      <c r="Q26" s="194"/>
      <c r="R26" s="194"/>
      <c r="S26" s="194"/>
      <c r="T26" s="194"/>
      <c r="U26" s="194"/>
    </row>
    <row r="27" spans="1:21" ht="15.5" x14ac:dyDescent="0.35">
      <c r="A27" s="194"/>
      <c r="B27" s="194"/>
      <c r="C27" s="194"/>
      <c r="D27" s="194"/>
      <c r="E27" s="194"/>
      <c r="F27" s="194"/>
      <c r="G27" s="194"/>
      <c r="H27" s="194"/>
      <c r="I27" s="194"/>
      <c r="J27" s="194"/>
      <c r="K27" s="194"/>
      <c r="L27" s="194"/>
      <c r="M27" s="194"/>
      <c r="N27" s="194"/>
      <c r="O27" s="194"/>
      <c r="P27" s="194"/>
      <c r="Q27" s="194"/>
      <c r="R27" s="194"/>
      <c r="S27" s="194"/>
      <c r="T27" s="194"/>
      <c r="U27" s="194"/>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4"/>
  <sheetViews>
    <sheetView showGridLines="0" workbookViewId="0">
      <selection activeCell="J18" sqref="J18"/>
    </sheetView>
  </sheetViews>
  <sheetFormatPr defaultColWidth="8.81640625" defaultRowHeight="14.5" x14ac:dyDescent="0.35"/>
  <cols>
    <col min="1" max="2" width="1.81640625" customWidth="1"/>
    <col min="3" max="3" width="1" customWidth="1"/>
    <col min="4" max="4" width="4.36328125" customWidth="1"/>
    <col min="5" max="5" width="15.81640625" customWidth="1"/>
    <col min="6" max="6" width="8" customWidth="1"/>
    <col min="7" max="7" width="12.6328125" customWidth="1"/>
    <col min="8" max="8" width="20.81640625" customWidth="1"/>
    <col min="9" max="9" width="12.1796875" customWidth="1"/>
    <col min="10" max="10" width="8.36328125" customWidth="1"/>
    <col min="11" max="11" width="14.6328125" customWidth="1"/>
    <col min="12" max="12" width="8.6328125" bestFit="1" customWidth="1"/>
    <col min="13" max="13" width="14.81640625" bestFit="1" customWidth="1"/>
    <col min="14" max="14" width="11.36328125" bestFit="1" customWidth="1"/>
    <col min="15" max="15" width="11.453125" bestFit="1" customWidth="1"/>
    <col min="16" max="16" width="12" bestFit="1" customWidth="1"/>
    <col min="17" max="17" width="14" bestFit="1" customWidth="1"/>
  </cols>
  <sheetData>
    <row r="1" spans="1:16" ht="32" x14ac:dyDescent="0.7">
      <c r="A1" s="161" t="str">
        <f>Model!A1</f>
        <v>Neogen Chemicals Limited</v>
      </c>
      <c r="B1" s="23"/>
      <c r="C1" s="23"/>
      <c r="D1" s="23"/>
      <c r="E1" s="23"/>
      <c r="F1" s="290"/>
      <c r="G1" s="23"/>
      <c r="H1" s="291"/>
      <c r="I1" s="23"/>
      <c r="J1" s="23"/>
      <c r="K1" s="23"/>
      <c r="L1" s="23"/>
      <c r="M1" s="23"/>
      <c r="N1" s="23"/>
      <c r="O1" s="23"/>
      <c r="P1" s="23"/>
    </row>
    <row r="2" spans="1:16" ht="15.5" x14ac:dyDescent="0.35">
      <c r="A2" s="411"/>
      <c r="B2" s="24" t="s">
        <v>285</v>
      </c>
      <c r="C2" s="23"/>
      <c r="D2" s="23"/>
      <c r="E2" s="23"/>
      <c r="F2" s="23"/>
      <c r="G2" s="23"/>
      <c r="H2" s="291"/>
      <c r="I2" s="23"/>
      <c r="J2" s="23"/>
      <c r="K2" s="23"/>
      <c r="L2" s="23"/>
      <c r="M2" s="23"/>
      <c r="N2" s="23"/>
      <c r="O2" s="23"/>
      <c r="P2" s="23"/>
    </row>
    <row r="3" spans="1:16" x14ac:dyDescent="0.35">
      <c r="A3" s="14"/>
      <c r="B3" s="14"/>
      <c r="C3" s="178"/>
      <c r="D3" s="131"/>
      <c r="E3" s="131"/>
      <c r="F3" s="131"/>
      <c r="G3" s="131"/>
      <c r="H3" s="179"/>
      <c r="I3" s="131"/>
      <c r="J3" s="131"/>
      <c r="K3" s="131"/>
      <c r="L3" s="14"/>
      <c r="M3" s="14"/>
      <c r="N3" s="14"/>
      <c r="O3" s="14"/>
      <c r="P3" s="14"/>
    </row>
    <row r="4" spans="1:16" x14ac:dyDescent="0.35">
      <c r="A4" s="14"/>
      <c r="B4" s="14"/>
      <c r="C4" s="178"/>
      <c r="D4" s="131"/>
      <c r="E4" s="131"/>
      <c r="F4" s="131"/>
      <c r="G4" s="131"/>
      <c r="H4" s="179"/>
      <c r="I4" s="131"/>
      <c r="J4" s="131"/>
      <c r="K4" s="131"/>
      <c r="L4" s="14"/>
      <c r="M4" s="14"/>
      <c r="N4" s="14"/>
      <c r="O4" s="14"/>
      <c r="P4" s="14"/>
    </row>
    <row r="5" spans="1:16" x14ac:dyDescent="0.35">
      <c r="A5" s="14"/>
      <c r="B5" s="14"/>
      <c r="C5" s="14"/>
      <c r="D5" s="292" t="s">
        <v>286</v>
      </c>
      <c r="E5" s="293"/>
      <c r="F5" s="293"/>
      <c r="G5" s="293"/>
      <c r="H5" s="294" t="s">
        <v>287</v>
      </c>
      <c r="I5" s="295" t="s">
        <v>288</v>
      </c>
      <c r="J5" s="295" t="s">
        <v>289</v>
      </c>
      <c r="K5" s="295" t="s">
        <v>199</v>
      </c>
      <c r="L5" s="295" t="s">
        <v>185</v>
      </c>
      <c r="M5" s="295" t="s">
        <v>290</v>
      </c>
      <c r="N5" s="296" t="s">
        <v>175</v>
      </c>
      <c r="O5" s="295" t="s">
        <v>291</v>
      </c>
      <c r="P5" s="295" t="s">
        <v>137</v>
      </c>
    </row>
    <row r="6" spans="1:16" ht="15.5" x14ac:dyDescent="0.35">
      <c r="A6" s="123"/>
      <c r="B6" s="123"/>
      <c r="C6" s="123"/>
      <c r="D6" s="190" t="s">
        <v>5</v>
      </c>
      <c r="E6" s="183"/>
      <c r="F6" s="183"/>
      <c r="G6" s="183"/>
      <c r="H6" s="44" t="s">
        <v>325</v>
      </c>
      <c r="I6" s="181">
        <f>Assumptions!D12</f>
        <v>1669.3</v>
      </c>
      <c r="J6" s="386">
        <f>Assumptions!D16/10^7</f>
        <v>2.6381673999999999</v>
      </c>
      <c r="K6" s="184">
        <v>566.04</v>
      </c>
      <c r="L6" s="184">
        <v>442.77</v>
      </c>
      <c r="M6" s="184">
        <v>818.13</v>
      </c>
      <c r="N6" s="69">
        <v>109.12</v>
      </c>
      <c r="O6" s="184">
        <v>34.82999999999997</v>
      </c>
      <c r="P6" s="191">
        <v>0.34705907642627509</v>
      </c>
    </row>
    <row r="7" spans="1:16" ht="15.5" x14ac:dyDescent="0.35">
      <c r="A7" s="123"/>
      <c r="B7" s="123"/>
      <c r="C7" s="123"/>
      <c r="D7" s="192"/>
      <c r="E7" s="185"/>
      <c r="F7" s="185"/>
      <c r="G7" s="185"/>
      <c r="H7" s="186"/>
      <c r="I7" s="187"/>
      <c r="J7" s="188"/>
      <c r="K7" s="188"/>
      <c r="L7" s="188"/>
      <c r="M7" s="188"/>
      <c r="N7" s="188"/>
      <c r="O7" s="188"/>
      <c r="P7" s="193"/>
    </row>
    <row r="8" spans="1:16" ht="15.5" x14ac:dyDescent="0.35">
      <c r="A8" s="123"/>
      <c r="B8" s="123"/>
      <c r="C8" s="123"/>
      <c r="D8" s="180" t="s">
        <v>293</v>
      </c>
      <c r="E8" s="123"/>
      <c r="F8" s="123"/>
      <c r="G8" s="123"/>
      <c r="H8" s="189" t="s">
        <v>299</v>
      </c>
      <c r="I8" s="181">
        <v>7011</v>
      </c>
      <c r="J8" s="184">
        <v>5.13</v>
      </c>
      <c r="K8" s="184">
        <v>1176.72</v>
      </c>
      <c r="L8" s="184">
        <v>72.150000000000006</v>
      </c>
      <c r="M8" s="184">
        <v>3077.13</v>
      </c>
      <c r="N8" s="184">
        <v>855.53</v>
      </c>
      <c r="O8" s="184">
        <v>545.89</v>
      </c>
      <c r="P8" s="191">
        <v>0.31703513757017121</v>
      </c>
    </row>
    <row r="9" spans="1:16" ht="15.5" x14ac:dyDescent="0.35">
      <c r="A9" s="123"/>
      <c r="B9" s="123"/>
      <c r="C9" s="123"/>
      <c r="D9" s="180" t="s">
        <v>294</v>
      </c>
      <c r="E9" s="123"/>
      <c r="F9" s="123"/>
      <c r="G9" s="123"/>
      <c r="H9" s="180" t="s">
        <v>300</v>
      </c>
      <c r="I9" s="181">
        <v>3674</v>
      </c>
      <c r="J9" s="184">
        <v>10.98</v>
      </c>
      <c r="K9" s="184">
        <v>1722</v>
      </c>
      <c r="L9" s="184">
        <v>188</v>
      </c>
      <c r="M9" s="184">
        <v>4852</v>
      </c>
      <c r="N9" s="184">
        <v>992</v>
      </c>
      <c r="O9" s="184">
        <v>656</v>
      </c>
      <c r="P9" s="191">
        <v>0.30549253512880564</v>
      </c>
    </row>
    <row r="10" spans="1:16" ht="15.5" x14ac:dyDescent="0.35">
      <c r="A10" s="123"/>
      <c r="B10" s="123"/>
      <c r="C10" s="123"/>
      <c r="D10" s="180" t="s">
        <v>295</v>
      </c>
      <c r="E10" s="123"/>
      <c r="F10" s="123"/>
      <c r="G10" s="123"/>
      <c r="H10" s="180" t="s">
        <v>301</v>
      </c>
      <c r="I10" s="181">
        <v>470</v>
      </c>
      <c r="J10" s="184">
        <v>36.26</v>
      </c>
      <c r="K10" s="184">
        <v>3973</v>
      </c>
      <c r="L10" s="184">
        <v>169</v>
      </c>
      <c r="M10" s="184">
        <v>8042</v>
      </c>
      <c r="N10" s="184">
        <v>627</v>
      </c>
      <c r="O10" s="184">
        <v>378</v>
      </c>
      <c r="P10" s="383">
        <v>0.25</v>
      </c>
    </row>
    <row r="11" spans="1:16" ht="15.5" x14ac:dyDescent="0.35">
      <c r="A11" s="123"/>
      <c r="B11" s="123"/>
      <c r="C11" s="123"/>
      <c r="D11" s="180" t="s">
        <v>298</v>
      </c>
      <c r="E11" s="123"/>
      <c r="F11" s="123"/>
      <c r="G11" s="123"/>
      <c r="H11" s="180" t="s">
        <v>302</v>
      </c>
      <c r="I11" s="181">
        <v>6985</v>
      </c>
      <c r="J11" s="184">
        <v>2.94</v>
      </c>
      <c r="K11" s="184">
        <v>185.95</v>
      </c>
      <c r="L11" s="184">
        <v>82.03</v>
      </c>
      <c r="M11" s="184">
        <v>6055.11</v>
      </c>
      <c r="N11" s="184">
        <v>816.43</v>
      </c>
      <c r="O11" s="184">
        <v>608.4</v>
      </c>
      <c r="P11" s="191">
        <v>0.39741432382515901</v>
      </c>
    </row>
    <row r="12" spans="1:16" ht="15.5" x14ac:dyDescent="0.35">
      <c r="A12" s="123"/>
      <c r="B12" s="123"/>
      <c r="C12" s="123"/>
      <c r="D12" s="180" t="s">
        <v>296</v>
      </c>
      <c r="E12" s="123"/>
      <c r="F12" s="123"/>
      <c r="G12" s="123"/>
      <c r="H12" s="180" t="s">
        <v>303</v>
      </c>
      <c r="I12" s="181">
        <v>1837</v>
      </c>
      <c r="J12" s="184">
        <v>13.64</v>
      </c>
      <c r="K12" s="184">
        <v>1243.9000000000001</v>
      </c>
      <c r="L12" s="184">
        <v>32.590000000000003</v>
      </c>
      <c r="M12" s="184">
        <v>7946.43</v>
      </c>
      <c r="N12" s="184">
        <v>783.74</v>
      </c>
      <c r="O12" s="184">
        <v>533.32000000000005</v>
      </c>
      <c r="P12" s="191">
        <v>0.37530494077535781</v>
      </c>
    </row>
    <row r="13" spans="1:16" ht="15.5" x14ac:dyDescent="0.35">
      <c r="A13" s="123"/>
      <c r="B13" s="123"/>
      <c r="C13" s="123"/>
      <c r="D13" s="180" t="s">
        <v>297</v>
      </c>
      <c r="E13" s="123"/>
      <c r="F13" s="123"/>
      <c r="G13" s="123"/>
      <c r="H13" s="180" t="s">
        <v>304</v>
      </c>
      <c r="I13" s="181">
        <v>3796</v>
      </c>
      <c r="J13" s="184">
        <v>4.33</v>
      </c>
      <c r="K13" s="184">
        <v>1243.9000000000001</v>
      </c>
      <c r="L13" s="184">
        <v>164.99</v>
      </c>
      <c r="M13" s="184">
        <v>14721.42</v>
      </c>
      <c r="N13" s="184">
        <v>539.71</v>
      </c>
      <c r="O13" s="184">
        <v>400.44</v>
      </c>
      <c r="P13" s="191">
        <v>0.36151875145585838</v>
      </c>
    </row>
    <row r="14" spans="1:16" ht="15.5" x14ac:dyDescent="0.35">
      <c r="A14" s="123"/>
      <c r="B14" s="123"/>
      <c r="C14" s="123"/>
      <c r="D14" s="180"/>
      <c r="E14" s="123"/>
      <c r="F14" s="123"/>
      <c r="G14" s="123"/>
      <c r="H14" s="180"/>
      <c r="I14" s="181"/>
      <c r="J14" s="184"/>
      <c r="K14" s="184"/>
      <c r="L14" s="184"/>
      <c r="M14" s="184"/>
      <c r="N14" s="184"/>
      <c r="O14" s="184"/>
      <c r="P14" s="191"/>
    </row>
    <row r="15" spans="1:16" ht="15.5" x14ac:dyDescent="0.35">
      <c r="A15" s="123"/>
      <c r="B15" s="123"/>
      <c r="C15" s="123"/>
      <c r="D15" s="180"/>
      <c r="E15" s="123"/>
      <c r="F15" s="123"/>
      <c r="G15" s="123"/>
    </row>
    <row r="16" spans="1:16" ht="16" x14ac:dyDescent="0.4">
      <c r="A16" s="123"/>
      <c r="B16" s="123"/>
      <c r="C16" s="123"/>
      <c r="D16" s="182" t="s">
        <v>292</v>
      </c>
      <c r="E16" s="180"/>
      <c r="F16" s="179"/>
      <c r="G16" s="179"/>
    </row>
    <row r="17" spans="1:14" x14ac:dyDescent="0.35">
      <c r="A17" s="14"/>
    </row>
    <row r="18" spans="1:14" ht="15.5" x14ac:dyDescent="0.35">
      <c r="A18" s="14"/>
      <c r="B18" s="14"/>
      <c r="C18" s="178"/>
      <c r="D18" s="184"/>
      <c r="E18" s="184"/>
      <c r="F18" s="184"/>
      <c r="G18" s="184"/>
      <c r="H18" s="191"/>
    </row>
    <row r="19" spans="1:14" s="378" customFormat="1" ht="15.5" x14ac:dyDescent="0.35">
      <c r="D19" s="379"/>
      <c r="E19" s="380"/>
      <c r="F19" s="379"/>
      <c r="G19" s="379"/>
      <c r="H19" s="379"/>
      <c r="I19" s="381"/>
      <c r="J19" s="381"/>
      <c r="K19" s="381"/>
      <c r="L19" s="381"/>
      <c r="M19" s="381"/>
      <c r="N19" s="381"/>
    </row>
    <row r="20" spans="1:14" s="378" customFormat="1" x14ac:dyDescent="0.35">
      <c r="D20" s="178"/>
      <c r="E20" s="379"/>
      <c r="F20" s="379"/>
      <c r="G20" s="379"/>
      <c r="H20" s="379"/>
      <c r="I20" s="381"/>
      <c r="J20" s="381"/>
      <c r="K20" s="381"/>
      <c r="L20" s="381"/>
      <c r="M20" s="381"/>
      <c r="N20" s="381"/>
    </row>
    <row r="21" spans="1:14" s="378" customFormat="1" x14ac:dyDescent="0.35">
      <c r="D21" s="379"/>
      <c r="E21" s="381"/>
      <c r="F21" s="381"/>
      <c r="G21" s="381"/>
      <c r="H21" s="381"/>
      <c r="I21" s="381"/>
      <c r="J21" s="381"/>
      <c r="K21" s="381"/>
      <c r="L21" s="381"/>
      <c r="M21" s="381"/>
      <c r="N21" s="381"/>
    </row>
    <row r="22" spans="1:14" s="378" customFormat="1" x14ac:dyDescent="0.35">
      <c r="D22" s="379"/>
      <c r="E22" s="381"/>
      <c r="F22" s="381"/>
      <c r="G22" s="381"/>
      <c r="H22" s="381"/>
      <c r="I22" s="381"/>
      <c r="J22" s="381"/>
      <c r="K22" s="381"/>
      <c r="L22" s="381"/>
      <c r="M22" s="381"/>
      <c r="N22" s="381"/>
    </row>
    <row r="23" spans="1:14" s="378" customFormat="1" x14ac:dyDescent="0.35">
      <c r="D23" s="379"/>
      <c r="E23" s="381"/>
      <c r="F23" s="381"/>
      <c r="G23" s="381"/>
      <c r="H23" s="381"/>
      <c r="I23" s="381"/>
      <c r="J23" s="381"/>
      <c r="K23" s="381"/>
      <c r="L23" s="381"/>
      <c r="M23" s="381"/>
      <c r="N23" s="381"/>
    </row>
    <row r="24" spans="1:14" x14ac:dyDescent="0.35">
      <c r="D24" s="178"/>
      <c r="E24" s="382"/>
      <c r="F24" s="382"/>
      <c r="G24" s="382"/>
      <c r="H24" s="382"/>
      <c r="I24" s="382"/>
      <c r="J24" s="382"/>
      <c r="K24" s="382"/>
      <c r="L24" s="382"/>
      <c r="M24" s="382"/>
      <c r="N24" s="382"/>
    </row>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72"/>
  <sheetViews>
    <sheetView showGridLines="0" workbookViewId="0">
      <selection activeCell="G10" sqref="G10"/>
    </sheetView>
  </sheetViews>
  <sheetFormatPr defaultColWidth="8.81640625" defaultRowHeight="14.5" x14ac:dyDescent="0.35"/>
  <cols>
    <col min="1" max="1" width="1.81640625" customWidth="1"/>
    <col min="2" max="2" width="10.81640625" customWidth="1"/>
    <col min="3" max="3" width="13.36328125" customWidth="1"/>
    <col min="4" max="4" width="14.36328125" bestFit="1" customWidth="1"/>
    <col min="6" max="6" width="14.36328125" bestFit="1" customWidth="1"/>
    <col min="7" max="7" width="11.6328125" bestFit="1" customWidth="1"/>
  </cols>
  <sheetData>
    <row r="1" spans="1:8" ht="32" customHeight="1" x14ac:dyDescent="0.7">
      <c r="A1" s="160"/>
      <c r="B1" s="237" t="str">
        <f>'Historical '!C1</f>
        <v>Neogen Chemicals Limited</v>
      </c>
      <c r="C1" s="160"/>
      <c r="D1" s="238"/>
      <c r="E1" s="238"/>
      <c r="F1" s="238"/>
      <c r="G1" s="238"/>
      <c r="H1" s="238"/>
    </row>
    <row r="2" spans="1:8" ht="18" customHeight="1" x14ac:dyDescent="0.35">
      <c r="A2" s="160"/>
      <c r="B2" s="239" t="s">
        <v>326</v>
      </c>
      <c r="C2" s="160"/>
      <c r="D2" s="239"/>
      <c r="E2" s="239"/>
      <c r="F2" s="239"/>
      <c r="G2" s="239"/>
      <c r="H2" s="239"/>
    </row>
    <row r="3" spans="1:8" x14ac:dyDescent="0.35">
      <c r="C3" s="232"/>
      <c r="D3" s="232"/>
      <c r="E3" s="232"/>
      <c r="F3" s="232"/>
      <c r="G3" s="232"/>
      <c r="H3" s="232"/>
    </row>
    <row r="4" spans="1:8" x14ac:dyDescent="0.35">
      <c r="A4" s="160"/>
      <c r="B4" s="160"/>
      <c r="C4" s="240" t="s">
        <v>327</v>
      </c>
      <c r="F4" s="232"/>
      <c r="G4" s="232"/>
      <c r="H4" s="232"/>
    </row>
    <row r="5" spans="1:8" x14ac:dyDescent="0.35">
      <c r="A5" s="160"/>
      <c r="B5" s="241" t="s">
        <v>253</v>
      </c>
      <c r="C5" s="240" t="s">
        <v>328</v>
      </c>
      <c r="F5" s="233" t="s">
        <v>327</v>
      </c>
      <c r="G5" s="232" t="s">
        <v>329</v>
      </c>
      <c r="H5" s="232"/>
    </row>
    <row r="6" spans="1:8" x14ac:dyDescent="0.35">
      <c r="B6" s="517">
        <v>46156</v>
      </c>
      <c r="C6" s="119">
        <v>23667.3</v>
      </c>
      <c r="D6" s="235"/>
      <c r="E6" s="232"/>
      <c r="F6" s="233"/>
      <c r="G6" s="232"/>
      <c r="H6" s="232"/>
    </row>
    <row r="7" spans="1:8" x14ac:dyDescent="0.35">
      <c r="B7" s="517">
        <v>46155</v>
      </c>
      <c r="C7" s="119">
        <v>23412.6</v>
      </c>
      <c r="D7" s="235"/>
      <c r="E7" s="232"/>
      <c r="F7" s="233" t="s">
        <v>330</v>
      </c>
      <c r="G7" s="332">
        <f>YEARFRAC(B6,B2572)</f>
        <v>10.369444444444444</v>
      </c>
      <c r="H7" s="236"/>
    </row>
    <row r="8" spans="1:8" x14ac:dyDescent="0.35">
      <c r="B8" s="517">
        <v>46154</v>
      </c>
      <c r="C8" s="119">
        <v>23379.55</v>
      </c>
      <c r="D8" s="235"/>
      <c r="E8" s="232"/>
      <c r="F8" s="233"/>
      <c r="G8" s="236"/>
      <c r="H8" s="236"/>
    </row>
    <row r="9" spans="1:8" x14ac:dyDescent="0.35">
      <c r="B9" s="517">
        <v>46153</v>
      </c>
      <c r="C9" s="119">
        <v>23815.85</v>
      </c>
      <c r="D9" s="235"/>
      <c r="F9" s="233" t="s">
        <v>331</v>
      </c>
      <c r="G9" s="333">
        <f>_xlfn.RRI(G7,C2572,C6)</f>
        <v>0.11076114273968285</v>
      </c>
      <c r="H9" s="236"/>
    </row>
    <row r="10" spans="1:8" x14ac:dyDescent="0.35">
      <c r="B10" s="517">
        <v>46150</v>
      </c>
      <c r="C10" s="119">
        <v>24176.15</v>
      </c>
    </row>
    <row r="11" spans="1:8" x14ac:dyDescent="0.35">
      <c r="B11" s="517">
        <v>46149</v>
      </c>
      <c r="C11" s="119">
        <v>24326.65</v>
      </c>
    </row>
    <row r="12" spans="1:8" x14ac:dyDescent="0.35">
      <c r="B12" s="517">
        <v>46148</v>
      </c>
      <c r="C12" s="119">
        <v>24330.95</v>
      </c>
    </row>
    <row r="13" spans="1:8" x14ac:dyDescent="0.35">
      <c r="B13" s="517">
        <v>46147</v>
      </c>
      <c r="C13" s="119">
        <v>24032.799999999999</v>
      </c>
    </row>
    <row r="14" spans="1:8" x14ac:dyDescent="0.35">
      <c r="B14" s="517">
        <v>46146</v>
      </c>
      <c r="C14" s="119">
        <v>24119.3</v>
      </c>
    </row>
    <row r="15" spans="1:8" x14ac:dyDescent="0.35">
      <c r="B15" s="517">
        <v>46142</v>
      </c>
      <c r="C15" s="119">
        <v>23997.55</v>
      </c>
    </row>
    <row r="16" spans="1:8" x14ac:dyDescent="0.35">
      <c r="B16" s="517">
        <v>46141</v>
      </c>
      <c r="C16" s="119">
        <v>24177.65</v>
      </c>
    </row>
    <row r="17" spans="2:3" x14ac:dyDescent="0.35">
      <c r="B17" s="517">
        <v>46140</v>
      </c>
      <c r="C17" s="119">
        <v>23995.7</v>
      </c>
    </row>
    <row r="18" spans="2:3" x14ac:dyDescent="0.35">
      <c r="B18" s="517">
        <v>46139</v>
      </c>
      <c r="C18" s="119">
        <v>24092.7</v>
      </c>
    </row>
    <row r="19" spans="2:3" x14ac:dyDescent="0.35">
      <c r="B19" s="517">
        <v>46136</v>
      </c>
      <c r="C19" s="119">
        <v>23897.95</v>
      </c>
    </row>
    <row r="20" spans="2:3" x14ac:dyDescent="0.35">
      <c r="B20" s="517">
        <v>46135</v>
      </c>
      <c r="C20" s="119">
        <v>24173.05</v>
      </c>
    </row>
    <row r="21" spans="2:3" x14ac:dyDescent="0.35">
      <c r="B21" s="517">
        <v>46134</v>
      </c>
      <c r="C21" s="119">
        <v>24378.1</v>
      </c>
    </row>
    <row r="22" spans="2:3" x14ac:dyDescent="0.35">
      <c r="B22" s="517">
        <v>46133</v>
      </c>
      <c r="C22" s="119">
        <v>24576.6</v>
      </c>
    </row>
    <row r="23" spans="2:3" x14ac:dyDescent="0.35">
      <c r="B23" s="517">
        <v>46132</v>
      </c>
      <c r="C23" s="119">
        <v>24364.85</v>
      </c>
    </row>
    <row r="24" spans="2:3" x14ac:dyDescent="0.35">
      <c r="B24" s="517">
        <v>46129</v>
      </c>
      <c r="C24" s="119">
        <v>24353.55</v>
      </c>
    </row>
    <row r="25" spans="2:3" x14ac:dyDescent="0.35">
      <c r="B25" s="517">
        <v>46128</v>
      </c>
      <c r="C25" s="119">
        <v>24196.75</v>
      </c>
    </row>
    <row r="26" spans="2:3" x14ac:dyDescent="0.35">
      <c r="B26" s="517">
        <v>46127</v>
      </c>
      <c r="C26" s="119">
        <v>24231.3</v>
      </c>
    </row>
    <row r="27" spans="2:3" x14ac:dyDescent="0.35">
      <c r="B27" s="517">
        <v>46125</v>
      </c>
      <c r="C27" s="119">
        <v>23842.65</v>
      </c>
    </row>
    <row r="28" spans="2:3" x14ac:dyDescent="0.35">
      <c r="B28" s="517">
        <v>46122</v>
      </c>
      <c r="C28" s="119">
        <v>24050.6</v>
      </c>
    </row>
    <row r="29" spans="2:3" x14ac:dyDescent="0.35">
      <c r="B29" s="517">
        <v>46121</v>
      </c>
      <c r="C29" s="119">
        <v>23775.1</v>
      </c>
    </row>
    <row r="30" spans="2:3" x14ac:dyDescent="0.35">
      <c r="B30" s="517">
        <v>46120</v>
      </c>
      <c r="C30" s="119">
        <v>23997.35</v>
      </c>
    </row>
    <row r="31" spans="2:3" x14ac:dyDescent="0.35">
      <c r="B31" s="517">
        <v>46119</v>
      </c>
      <c r="C31" s="119">
        <v>23123.65</v>
      </c>
    </row>
    <row r="32" spans="2:3" x14ac:dyDescent="0.35">
      <c r="B32" s="517">
        <v>46118</v>
      </c>
      <c r="C32" s="119">
        <v>22968.25</v>
      </c>
    </row>
    <row r="33" spans="2:3" x14ac:dyDescent="0.35">
      <c r="B33" s="517">
        <v>46114</v>
      </c>
      <c r="C33" s="119">
        <v>22713.1</v>
      </c>
    </row>
    <row r="34" spans="2:3" x14ac:dyDescent="0.35">
      <c r="B34" s="517">
        <v>46113</v>
      </c>
      <c r="C34" s="119">
        <v>22679.4</v>
      </c>
    </row>
    <row r="35" spans="2:3" x14ac:dyDescent="0.35">
      <c r="B35" s="517">
        <v>46111</v>
      </c>
      <c r="C35" s="119">
        <v>22331.4</v>
      </c>
    </row>
    <row r="36" spans="2:3" x14ac:dyDescent="0.35">
      <c r="B36" s="517">
        <v>46108</v>
      </c>
      <c r="C36" s="119">
        <v>22819.599999999999</v>
      </c>
    </row>
    <row r="37" spans="2:3" x14ac:dyDescent="0.35">
      <c r="B37" s="517">
        <v>46106</v>
      </c>
      <c r="C37" s="119">
        <v>23306.45</v>
      </c>
    </row>
    <row r="38" spans="2:3" x14ac:dyDescent="0.35">
      <c r="B38" s="517">
        <v>46105</v>
      </c>
      <c r="C38" s="119">
        <v>22912.400000000001</v>
      </c>
    </row>
    <row r="39" spans="2:3" x14ac:dyDescent="0.35">
      <c r="B39" s="517">
        <v>46104</v>
      </c>
      <c r="C39" s="119">
        <v>22512.65</v>
      </c>
    </row>
    <row r="40" spans="2:3" x14ac:dyDescent="0.35">
      <c r="B40" s="517">
        <v>46101</v>
      </c>
      <c r="C40" s="119">
        <v>23114.5</v>
      </c>
    </row>
    <row r="41" spans="2:3" x14ac:dyDescent="0.35">
      <c r="B41" s="517">
        <v>46100</v>
      </c>
      <c r="C41" s="119">
        <v>23002.15</v>
      </c>
    </row>
    <row r="42" spans="2:3" x14ac:dyDescent="0.35">
      <c r="B42" s="517">
        <v>46099</v>
      </c>
      <c r="C42" s="119">
        <v>23777.8</v>
      </c>
    </row>
    <row r="43" spans="2:3" x14ac:dyDescent="0.35">
      <c r="B43" s="517">
        <v>46098</v>
      </c>
      <c r="C43" s="119">
        <v>23581.15</v>
      </c>
    </row>
    <row r="44" spans="2:3" x14ac:dyDescent="0.35">
      <c r="B44" s="517">
        <v>46097</v>
      </c>
      <c r="C44" s="119">
        <v>23408.799999999999</v>
      </c>
    </row>
    <row r="45" spans="2:3" x14ac:dyDescent="0.35">
      <c r="B45" s="517">
        <v>46094</v>
      </c>
      <c r="C45" s="119">
        <v>23151.1</v>
      </c>
    </row>
    <row r="46" spans="2:3" x14ac:dyDescent="0.35">
      <c r="B46" s="517">
        <v>46093</v>
      </c>
      <c r="C46" s="119">
        <v>23639.15</v>
      </c>
    </row>
    <row r="47" spans="2:3" x14ac:dyDescent="0.35">
      <c r="B47" s="517">
        <v>46092</v>
      </c>
      <c r="C47" s="119">
        <v>23866.85</v>
      </c>
    </row>
    <row r="48" spans="2:3" x14ac:dyDescent="0.35">
      <c r="B48" s="517">
        <v>46091</v>
      </c>
      <c r="C48" s="119">
        <v>24261.599999999999</v>
      </c>
    </row>
    <row r="49" spans="2:3" x14ac:dyDescent="0.35">
      <c r="B49" s="517">
        <v>46090</v>
      </c>
      <c r="C49" s="119">
        <v>24028.05</v>
      </c>
    </row>
    <row r="50" spans="2:3" x14ac:dyDescent="0.35">
      <c r="B50" s="517">
        <v>46087</v>
      </c>
      <c r="C50" s="119">
        <v>24450.45</v>
      </c>
    </row>
    <row r="51" spans="2:3" x14ac:dyDescent="0.35">
      <c r="B51" s="517">
        <v>46086</v>
      </c>
      <c r="C51" s="119">
        <v>24765.9</v>
      </c>
    </row>
    <row r="52" spans="2:3" x14ac:dyDescent="0.35">
      <c r="B52" s="517">
        <v>46085</v>
      </c>
      <c r="C52" s="119">
        <v>24480.5</v>
      </c>
    </row>
    <row r="53" spans="2:3" x14ac:dyDescent="0.35">
      <c r="B53" s="517">
        <v>46083</v>
      </c>
      <c r="C53" s="119">
        <v>24865.7</v>
      </c>
    </row>
    <row r="54" spans="2:3" x14ac:dyDescent="0.35">
      <c r="B54" s="517">
        <v>46080</v>
      </c>
      <c r="C54" s="119">
        <v>25178.65</v>
      </c>
    </row>
    <row r="55" spans="2:3" x14ac:dyDescent="0.35">
      <c r="B55" s="517">
        <v>46079</v>
      </c>
      <c r="C55" s="119">
        <v>25496.55</v>
      </c>
    </row>
    <row r="56" spans="2:3" x14ac:dyDescent="0.35">
      <c r="B56" s="517">
        <v>46078</v>
      </c>
      <c r="C56" s="119">
        <v>25482.5</v>
      </c>
    </row>
    <row r="57" spans="2:3" x14ac:dyDescent="0.35">
      <c r="B57" s="517">
        <v>46077</v>
      </c>
      <c r="C57" s="119">
        <v>25424.65</v>
      </c>
    </row>
    <row r="58" spans="2:3" x14ac:dyDescent="0.35">
      <c r="B58" s="517">
        <v>46076</v>
      </c>
      <c r="C58" s="119">
        <v>25713</v>
      </c>
    </row>
    <row r="59" spans="2:3" x14ac:dyDescent="0.35">
      <c r="B59" s="517">
        <v>46073</v>
      </c>
      <c r="C59" s="119">
        <v>25571.25</v>
      </c>
    </row>
    <row r="60" spans="2:3" x14ac:dyDescent="0.35">
      <c r="B60" s="517">
        <v>46072</v>
      </c>
      <c r="C60" s="119">
        <v>25454.35</v>
      </c>
    </row>
    <row r="61" spans="2:3" x14ac:dyDescent="0.35">
      <c r="B61" s="517">
        <v>46071</v>
      </c>
      <c r="C61" s="119">
        <v>25819.35</v>
      </c>
    </row>
    <row r="62" spans="2:3" x14ac:dyDescent="0.35">
      <c r="B62" s="517">
        <v>46070</v>
      </c>
      <c r="C62" s="119">
        <v>25725.4</v>
      </c>
    </row>
    <row r="63" spans="2:3" x14ac:dyDescent="0.35">
      <c r="B63" s="517">
        <v>46069</v>
      </c>
      <c r="C63" s="119">
        <v>25682.75</v>
      </c>
    </row>
    <row r="64" spans="2:3" x14ac:dyDescent="0.35">
      <c r="B64" s="517">
        <v>46066</v>
      </c>
      <c r="C64" s="119">
        <v>25471.1</v>
      </c>
    </row>
    <row r="65" spans="2:3" x14ac:dyDescent="0.35">
      <c r="B65" s="517">
        <v>46065</v>
      </c>
      <c r="C65" s="119">
        <v>25807.200000000001</v>
      </c>
    </row>
    <row r="66" spans="2:3" x14ac:dyDescent="0.35">
      <c r="B66" s="517">
        <v>46064</v>
      </c>
      <c r="C66" s="119">
        <v>25953.85</v>
      </c>
    </row>
    <row r="67" spans="2:3" x14ac:dyDescent="0.35">
      <c r="B67" s="517">
        <v>46063</v>
      </c>
      <c r="C67" s="119">
        <v>25935.15</v>
      </c>
    </row>
    <row r="68" spans="2:3" x14ac:dyDescent="0.35">
      <c r="B68" s="517">
        <v>46062</v>
      </c>
      <c r="C68" s="119">
        <v>25867.3</v>
      </c>
    </row>
    <row r="69" spans="2:3" x14ac:dyDescent="0.35">
      <c r="B69" s="517">
        <v>46059</v>
      </c>
      <c r="C69" s="119">
        <v>25693.7</v>
      </c>
    </row>
    <row r="70" spans="2:3" x14ac:dyDescent="0.35">
      <c r="B70" s="517">
        <v>46058</v>
      </c>
      <c r="C70" s="119">
        <v>25642.799999999999</v>
      </c>
    </row>
    <row r="71" spans="2:3" x14ac:dyDescent="0.35">
      <c r="B71" s="517">
        <v>46057</v>
      </c>
      <c r="C71" s="119">
        <v>25776</v>
      </c>
    </row>
    <row r="72" spans="2:3" x14ac:dyDescent="0.35">
      <c r="B72" s="517">
        <v>46056</v>
      </c>
      <c r="C72" s="119">
        <v>25727.55</v>
      </c>
    </row>
    <row r="73" spans="2:3" x14ac:dyDescent="0.35">
      <c r="B73" s="517">
        <v>46055</v>
      </c>
      <c r="C73" s="119">
        <v>25088.400000000001</v>
      </c>
    </row>
    <row r="74" spans="2:3" x14ac:dyDescent="0.35">
      <c r="B74" s="517">
        <v>46054</v>
      </c>
      <c r="C74" s="119">
        <v>24825.45</v>
      </c>
    </row>
    <row r="75" spans="2:3" x14ac:dyDescent="0.35">
      <c r="B75" s="517">
        <v>46052</v>
      </c>
      <c r="C75" s="119">
        <v>25320.65</v>
      </c>
    </row>
    <row r="76" spans="2:3" x14ac:dyDescent="0.35">
      <c r="B76" s="517">
        <v>46051</v>
      </c>
      <c r="C76" s="119">
        <v>25418.9</v>
      </c>
    </row>
    <row r="77" spans="2:3" x14ac:dyDescent="0.35">
      <c r="B77" s="517">
        <v>46050</v>
      </c>
      <c r="C77" s="119">
        <v>25342.75</v>
      </c>
    </row>
    <row r="78" spans="2:3" x14ac:dyDescent="0.35">
      <c r="B78" s="517">
        <v>46049</v>
      </c>
      <c r="C78" s="119">
        <v>25175.4</v>
      </c>
    </row>
    <row r="79" spans="2:3" x14ac:dyDescent="0.35">
      <c r="B79" s="517">
        <v>46045</v>
      </c>
      <c r="C79" s="119">
        <v>25048.65</v>
      </c>
    </row>
    <row r="80" spans="2:3" x14ac:dyDescent="0.35">
      <c r="B80" s="517">
        <v>46044</v>
      </c>
      <c r="C80" s="119">
        <v>25289.9</v>
      </c>
    </row>
    <row r="81" spans="2:3" x14ac:dyDescent="0.35">
      <c r="B81" s="517">
        <v>46043</v>
      </c>
      <c r="C81" s="119">
        <v>25157.5</v>
      </c>
    </row>
    <row r="82" spans="2:3" x14ac:dyDescent="0.35">
      <c r="B82" s="517">
        <v>46042</v>
      </c>
      <c r="C82" s="119">
        <v>25232.5</v>
      </c>
    </row>
    <row r="83" spans="2:3" x14ac:dyDescent="0.35">
      <c r="B83" s="517">
        <v>46041</v>
      </c>
      <c r="C83" s="119">
        <v>25585.5</v>
      </c>
    </row>
    <row r="84" spans="2:3" x14ac:dyDescent="0.35">
      <c r="B84" s="517">
        <v>46038</v>
      </c>
      <c r="C84" s="119">
        <v>25694.35</v>
      </c>
    </row>
    <row r="85" spans="2:3" x14ac:dyDescent="0.35">
      <c r="B85" s="517">
        <v>46036</v>
      </c>
      <c r="C85" s="119">
        <v>25665.599999999999</v>
      </c>
    </row>
    <row r="86" spans="2:3" x14ac:dyDescent="0.35">
      <c r="B86" s="517">
        <v>46035</v>
      </c>
      <c r="C86" s="119">
        <v>25732.3</v>
      </c>
    </row>
    <row r="87" spans="2:3" x14ac:dyDescent="0.35">
      <c r="B87" s="517">
        <v>46034</v>
      </c>
      <c r="C87" s="119">
        <v>25790.25</v>
      </c>
    </row>
    <row r="88" spans="2:3" x14ac:dyDescent="0.35">
      <c r="B88" s="517">
        <v>46031</v>
      </c>
      <c r="C88" s="119">
        <v>25683.3</v>
      </c>
    </row>
    <row r="89" spans="2:3" x14ac:dyDescent="0.35">
      <c r="B89" s="517">
        <v>46030</v>
      </c>
      <c r="C89" s="119">
        <v>25876.85</v>
      </c>
    </row>
    <row r="90" spans="2:3" x14ac:dyDescent="0.35">
      <c r="B90" s="517">
        <v>46029</v>
      </c>
      <c r="C90" s="119">
        <v>26140.75</v>
      </c>
    </row>
    <row r="91" spans="2:3" x14ac:dyDescent="0.35">
      <c r="B91" s="517">
        <v>46028</v>
      </c>
      <c r="C91" s="119">
        <v>26178.7</v>
      </c>
    </row>
    <row r="92" spans="2:3" x14ac:dyDescent="0.35">
      <c r="B92" s="517">
        <v>46027</v>
      </c>
      <c r="C92" s="119">
        <v>26250.3</v>
      </c>
    </row>
    <row r="93" spans="2:3" x14ac:dyDescent="0.35">
      <c r="B93" s="517">
        <v>46024</v>
      </c>
      <c r="C93" s="119">
        <v>26328.55</v>
      </c>
    </row>
    <row r="94" spans="2:3" x14ac:dyDescent="0.35">
      <c r="B94" s="517">
        <v>46023</v>
      </c>
      <c r="C94" s="119">
        <v>26146.55</v>
      </c>
    </row>
    <row r="95" spans="2:3" x14ac:dyDescent="0.35">
      <c r="B95" s="517">
        <v>46022</v>
      </c>
      <c r="C95" s="119">
        <v>26129.599999999999</v>
      </c>
    </row>
    <row r="96" spans="2:3" x14ac:dyDescent="0.35">
      <c r="B96" s="517">
        <v>46021</v>
      </c>
      <c r="C96" s="119">
        <v>25938.85</v>
      </c>
    </row>
    <row r="97" spans="2:3" x14ac:dyDescent="0.35">
      <c r="B97" s="517">
        <v>46020</v>
      </c>
      <c r="C97" s="119">
        <v>25942.1</v>
      </c>
    </row>
    <row r="98" spans="2:3" x14ac:dyDescent="0.35">
      <c r="B98" s="517">
        <v>46017</v>
      </c>
      <c r="C98" s="119">
        <v>26042.3</v>
      </c>
    </row>
    <row r="99" spans="2:3" x14ac:dyDescent="0.35">
      <c r="B99" s="517">
        <v>46015</v>
      </c>
      <c r="C99" s="119">
        <v>26142.1</v>
      </c>
    </row>
    <row r="100" spans="2:3" x14ac:dyDescent="0.35">
      <c r="B100" s="517">
        <v>46014</v>
      </c>
      <c r="C100" s="119">
        <v>26177.15</v>
      </c>
    </row>
    <row r="101" spans="2:3" x14ac:dyDescent="0.35">
      <c r="B101" s="517">
        <v>46013</v>
      </c>
      <c r="C101" s="119">
        <v>26172.400000000001</v>
      </c>
    </row>
    <row r="102" spans="2:3" x14ac:dyDescent="0.35">
      <c r="B102" s="517">
        <v>46010</v>
      </c>
      <c r="C102" s="119">
        <v>25966.400000000001</v>
      </c>
    </row>
    <row r="103" spans="2:3" x14ac:dyDescent="0.35">
      <c r="B103" s="517">
        <v>46009</v>
      </c>
      <c r="C103" s="119">
        <v>25815.55</v>
      </c>
    </row>
    <row r="104" spans="2:3" x14ac:dyDescent="0.35">
      <c r="B104" s="517">
        <v>46008</v>
      </c>
      <c r="C104" s="119">
        <v>25818.55</v>
      </c>
    </row>
    <row r="105" spans="2:3" x14ac:dyDescent="0.35">
      <c r="B105" s="517">
        <v>46007</v>
      </c>
      <c r="C105" s="119">
        <v>25860.1</v>
      </c>
    </row>
    <row r="106" spans="2:3" x14ac:dyDescent="0.35">
      <c r="B106" s="517">
        <v>46006</v>
      </c>
      <c r="C106" s="119">
        <v>26027.3</v>
      </c>
    </row>
    <row r="107" spans="2:3" x14ac:dyDescent="0.35">
      <c r="B107" s="517">
        <v>46003</v>
      </c>
      <c r="C107" s="119">
        <v>26046.95</v>
      </c>
    </row>
    <row r="108" spans="2:3" x14ac:dyDescent="0.35">
      <c r="B108" s="517">
        <v>46002</v>
      </c>
      <c r="C108" s="119">
        <v>25898.55</v>
      </c>
    </row>
    <row r="109" spans="2:3" x14ac:dyDescent="0.35">
      <c r="B109" s="517">
        <v>46001</v>
      </c>
      <c r="C109" s="119">
        <v>25758</v>
      </c>
    </row>
    <row r="110" spans="2:3" x14ac:dyDescent="0.35">
      <c r="B110" s="517">
        <v>46000</v>
      </c>
      <c r="C110" s="119">
        <v>25839.65</v>
      </c>
    </row>
    <row r="111" spans="2:3" x14ac:dyDescent="0.35">
      <c r="B111" s="517">
        <v>45999</v>
      </c>
      <c r="C111" s="119">
        <v>25960.55</v>
      </c>
    </row>
    <row r="112" spans="2:3" x14ac:dyDescent="0.35">
      <c r="B112" s="517">
        <v>45996</v>
      </c>
      <c r="C112" s="119">
        <v>26186.45</v>
      </c>
    </row>
    <row r="113" spans="2:3" x14ac:dyDescent="0.35">
      <c r="B113" s="517">
        <v>45995</v>
      </c>
      <c r="C113" s="119">
        <v>26033.75</v>
      </c>
    </row>
    <row r="114" spans="2:3" x14ac:dyDescent="0.35">
      <c r="B114" s="517">
        <v>45994</v>
      </c>
      <c r="C114" s="119">
        <v>25986</v>
      </c>
    </row>
    <row r="115" spans="2:3" x14ac:dyDescent="0.35">
      <c r="B115" s="517">
        <v>45993</v>
      </c>
      <c r="C115" s="119">
        <v>26032.2</v>
      </c>
    </row>
    <row r="116" spans="2:3" x14ac:dyDescent="0.35">
      <c r="B116" s="517">
        <v>45992</v>
      </c>
      <c r="C116" s="119">
        <v>26175.75</v>
      </c>
    </row>
    <row r="117" spans="2:3" x14ac:dyDescent="0.35">
      <c r="B117" s="517">
        <v>45989</v>
      </c>
      <c r="C117" s="119">
        <v>26202.95</v>
      </c>
    </row>
    <row r="118" spans="2:3" x14ac:dyDescent="0.35">
      <c r="B118" s="517">
        <v>45988</v>
      </c>
      <c r="C118" s="119">
        <v>26215.55</v>
      </c>
    </row>
    <row r="119" spans="2:3" x14ac:dyDescent="0.35">
      <c r="B119" s="517">
        <v>45987</v>
      </c>
      <c r="C119" s="119">
        <v>26205.3</v>
      </c>
    </row>
    <row r="120" spans="2:3" x14ac:dyDescent="0.35">
      <c r="B120" s="517">
        <v>45986</v>
      </c>
      <c r="C120" s="119">
        <v>25884.799999999999</v>
      </c>
    </row>
    <row r="121" spans="2:3" x14ac:dyDescent="0.35">
      <c r="B121" s="517">
        <v>45985</v>
      </c>
      <c r="C121" s="119">
        <v>25959.5</v>
      </c>
    </row>
    <row r="122" spans="2:3" x14ac:dyDescent="0.35">
      <c r="B122" s="517">
        <v>45982</v>
      </c>
      <c r="C122" s="119">
        <v>26068.15</v>
      </c>
    </row>
    <row r="123" spans="2:3" x14ac:dyDescent="0.35">
      <c r="B123" s="517">
        <v>45981</v>
      </c>
      <c r="C123" s="119">
        <v>26192.15</v>
      </c>
    </row>
    <row r="124" spans="2:3" x14ac:dyDescent="0.35">
      <c r="B124" s="517">
        <v>45980</v>
      </c>
      <c r="C124" s="119">
        <v>26052.65</v>
      </c>
    </row>
    <row r="125" spans="2:3" x14ac:dyDescent="0.35">
      <c r="B125" s="517">
        <v>45979</v>
      </c>
      <c r="C125" s="119">
        <v>25910.05</v>
      </c>
    </row>
    <row r="126" spans="2:3" x14ac:dyDescent="0.35">
      <c r="B126" s="517">
        <v>45978</v>
      </c>
      <c r="C126" s="119">
        <v>26013.45</v>
      </c>
    </row>
    <row r="127" spans="2:3" x14ac:dyDescent="0.35">
      <c r="B127" s="517">
        <v>45975</v>
      </c>
      <c r="C127" s="119">
        <v>25910.05</v>
      </c>
    </row>
    <row r="128" spans="2:3" x14ac:dyDescent="0.35">
      <c r="B128" s="517">
        <v>45974</v>
      </c>
      <c r="C128" s="119">
        <v>25879.15</v>
      </c>
    </row>
    <row r="129" spans="2:3" x14ac:dyDescent="0.35">
      <c r="B129" s="517">
        <v>45973</v>
      </c>
      <c r="C129" s="119">
        <v>25875.8</v>
      </c>
    </row>
    <row r="130" spans="2:3" x14ac:dyDescent="0.35">
      <c r="B130" s="517">
        <v>45972</v>
      </c>
      <c r="C130" s="119">
        <v>25694.95</v>
      </c>
    </row>
    <row r="131" spans="2:3" x14ac:dyDescent="0.35">
      <c r="B131" s="517">
        <v>45971</v>
      </c>
      <c r="C131" s="119">
        <v>25574.35</v>
      </c>
    </row>
    <row r="132" spans="2:3" x14ac:dyDescent="0.35">
      <c r="B132" s="517">
        <v>45968</v>
      </c>
      <c r="C132" s="119">
        <v>25492.3</v>
      </c>
    </row>
    <row r="133" spans="2:3" x14ac:dyDescent="0.35">
      <c r="B133" s="517">
        <v>45967</v>
      </c>
      <c r="C133" s="119">
        <v>25509.7</v>
      </c>
    </row>
    <row r="134" spans="2:3" x14ac:dyDescent="0.35">
      <c r="B134" s="517">
        <v>45965</v>
      </c>
      <c r="C134" s="119">
        <v>25597.65</v>
      </c>
    </row>
    <row r="135" spans="2:3" x14ac:dyDescent="0.35">
      <c r="B135" s="517">
        <v>45964</v>
      </c>
      <c r="C135" s="119">
        <v>25763.35</v>
      </c>
    </row>
    <row r="136" spans="2:3" x14ac:dyDescent="0.35">
      <c r="B136" s="517">
        <v>45961</v>
      </c>
      <c r="C136" s="119">
        <v>25722.1</v>
      </c>
    </row>
    <row r="137" spans="2:3" x14ac:dyDescent="0.35">
      <c r="B137" s="517">
        <v>45960</v>
      </c>
      <c r="C137" s="119">
        <v>25877.85</v>
      </c>
    </row>
    <row r="138" spans="2:3" x14ac:dyDescent="0.35">
      <c r="B138" s="517">
        <v>45959</v>
      </c>
      <c r="C138" s="119">
        <v>26053.9</v>
      </c>
    </row>
    <row r="139" spans="2:3" x14ac:dyDescent="0.35">
      <c r="B139" s="517">
        <v>45958</v>
      </c>
      <c r="C139" s="119">
        <v>25936.2</v>
      </c>
    </row>
    <row r="140" spans="2:3" x14ac:dyDescent="0.35">
      <c r="B140" s="517">
        <v>45957</v>
      </c>
      <c r="C140" s="119">
        <v>25966.05</v>
      </c>
    </row>
    <row r="141" spans="2:3" x14ac:dyDescent="0.35">
      <c r="B141" s="517">
        <v>45954</v>
      </c>
      <c r="C141" s="119">
        <v>25795.15</v>
      </c>
    </row>
    <row r="142" spans="2:3" x14ac:dyDescent="0.35">
      <c r="B142" s="517">
        <v>45953</v>
      </c>
      <c r="C142" s="119">
        <v>25891.4</v>
      </c>
    </row>
    <row r="143" spans="2:3" x14ac:dyDescent="0.35">
      <c r="B143" s="517">
        <v>45951</v>
      </c>
      <c r="C143" s="119">
        <v>25868.6</v>
      </c>
    </row>
    <row r="144" spans="2:3" x14ac:dyDescent="0.35">
      <c r="B144" s="517">
        <v>45950</v>
      </c>
      <c r="C144" s="119">
        <v>25843.15</v>
      </c>
    </row>
    <row r="145" spans="2:3" x14ac:dyDescent="0.35">
      <c r="B145" s="517">
        <v>45947</v>
      </c>
      <c r="C145" s="119">
        <v>25709.85</v>
      </c>
    </row>
    <row r="146" spans="2:3" x14ac:dyDescent="0.35">
      <c r="B146" s="517">
        <v>45946</v>
      </c>
      <c r="C146" s="119">
        <v>25585.3</v>
      </c>
    </row>
    <row r="147" spans="2:3" x14ac:dyDescent="0.35">
      <c r="B147" s="517">
        <v>45945</v>
      </c>
      <c r="C147" s="119">
        <v>25323.55</v>
      </c>
    </row>
    <row r="148" spans="2:3" x14ac:dyDescent="0.35">
      <c r="B148" s="517">
        <v>45944</v>
      </c>
      <c r="C148" s="119">
        <v>25145.5</v>
      </c>
    </row>
    <row r="149" spans="2:3" x14ac:dyDescent="0.35">
      <c r="B149" s="517">
        <v>45943</v>
      </c>
      <c r="C149" s="119">
        <v>25227.35</v>
      </c>
    </row>
    <row r="150" spans="2:3" x14ac:dyDescent="0.35">
      <c r="B150" s="517">
        <v>45940</v>
      </c>
      <c r="C150" s="119">
        <v>25285.35</v>
      </c>
    </row>
    <row r="151" spans="2:3" x14ac:dyDescent="0.35">
      <c r="B151" s="517">
        <v>45939</v>
      </c>
      <c r="C151" s="119">
        <v>25181.8</v>
      </c>
    </row>
    <row r="152" spans="2:3" x14ac:dyDescent="0.35">
      <c r="B152" s="517">
        <v>45938</v>
      </c>
      <c r="C152" s="119">
        <v>25046.15</v>
      </c>
    </row>
    <row r="153" spans="2:3" x14ac:dyDescent="0.35">
      <c r="B153" s="517">
        <v>45937</v>
      </c>
      <c r="C153" s="119">
        <v>25108.3</v>
      </c>
    </row>
    <row r="154" spans="2:3" x14ac:dyDescent="0.35">
      <c r="B154" s="517">
        <v>45936</v>
      </c>
      <c r="C154" s="119">
        <v>25077.65</v>
      </c>
    </row>
    <row r="155" spans="2:3" x14ac:dyDescent="0.35">
      <c r="B155" s="517">
        <v>45933</v>
      </c>
      <c r="C155" s="119">
        <v>24894.25</v>
      </c>
    </row>
    <row r="156" spans="2:3" x14ac:dyDescent="0.35">
      <c r="B156" s="517">
        <v>45931</v>
      </c>
      <c r="C156" s="119">
        <v>24836.3</v>
      </c>
    </row>
    <row r="157" spans="2:3" x14ac:dyDescent="0.35">
      <c r="B157" s="517">
        <v>45930</v>
      </c>
      <c r="C157" s="119">
        <v>24611.1</v>
      </c>
    </row>
    <row r="158" spans="2:3" x14ac:dyDescent="0.35">
      <c r="B158" s="517">
        <v>45929</v>
      </c>
      <c r="C158" s="119">
        <v>24634.9</v>
      </c>
    </row>
    <row r="159" spans="2:3" x14ac:dyDescent="0.35">
      <c r="B159" s="517">
        <v>45926</v>
      </c>
      <c r="C159" s="119">
        <v>24654.7</v>
      </c>
    </row>
    <row r="160" spans="2:3" x14ac:dyDescent="0.35">
      <c r="B160" s="517">
        <v>45925</v>
      </c>
      <c r="C160" s="119">
        <v>24890.85</v>
      </c>
    </row>
    <row r="161" spans="2:3" x14ac:dyDescent="0.35">
      <c r="B161" s="517">
        <v>45924</v>
      </c>
      <c r="C161" s="119">
        <v>25056.9</v>
      </c>
    </row>
    <row r="162" spans="2:3" x14ac:dyDescent="0.35">
      <c r="B162" s="517">
        <v>45923</v>
      </c>
      <c r="C162" s="119">
        <v>25169.5</v>
      </c>
    </row>
    <row r="163" spans="2:3" x14ac:dyDescent="0.35">
      <c r="B163" s="517">
        <v>45922</v>
      </c>
      <c r="C163" s="119">
        <v>25202.35</v>
      </c>
    </row>
    <row r="164" spans="2:3" x14ac:dyDescent="0.35">
      <c r="B164" s="517">
        <v>45919</v>
      </c>
      <c r="C164" s="119">
        <v>25327.05</v>
      </c>
    </row>
    <row r="165" spans="2:3" x14ac:dyDescent="0.35">
      <c r="B165" s="517">
        <v>45918</v>
      </c>
      <c r="C165" s="119">
        <v>25423.599999999999</v>
      </c>
    </row>
    <row r="166" spans="2:3" x14ac:dyDescent="0.35">
      <c r="B166" s="517">
        <v>45917</v>
      </c>
      <c r="C166" s="119">
        <v>25330.25</v>
      </c>
    </row>
    <row r="167" spans="2:3" x14ac:dyDescent="0.35">
      <c r="B167" s="517">
        <v>45916</v>
      </c>
      <c r="C167" s="119">
        <v>25239.1</v>
      </c>
    </row>
    <row r="168" spans="2:3" x14ac:dyDescent="0.35">
      <c r="B168" s="517">
        <v>45915</v>
      </c>
      <c r="C168" s="119">
        <v>25069.200000000001</v>
      </c>
    </row>
    <row r="169" spans="2:3" x14ac:dyDescent="0.35">
      <c r="B169" s="517">
        <v>45912</v>
      </c>
      <c r="C169" s="119">
        <v>25114</v>
      </c>
    </row>
    <row r="170" spans="2:3" x14ac:dyDescent="0.35">
      <c r="B170" s="517">
        <v>45911</v>
      </c>
      <c r="C170" s="119">
        <v>25005.5</v>
      </c>
    </row>
    <row r="171" spans="2:3" x14ac:dyDescent="0.35">
      <c r="B171" s="517">
        <v>45910</v>
      </c>
      <c r="C171" s="119">
        <v>24973.1</v>
      </c>
    </row>
    <row r="172" spans="2:3" x14ac:dyDescent="0.35">
      <c r="B172" s="517">
        <v>45909</v>
      </c>
      <c r="C172" s="119">
        <v>24868.6</v>
      </c>
    </row>
    <row r="173" spans="2:3" x14ac:dyDescent="0.35">
      <c r="B173" s="517">
        <v>45908</v>
      </c>
      <c r="C173" s="119">
        <v>24773.15</v>
      </c>
    </row>
    <row r="174" spans="2:3" x14ac:dyDescent="0.35">
      <c r="B174" s="517">
        <v>45905</v>
      </c>
      <c r="C174" s="119">
        <v>24741</v>
      </c>
    </row>
    <row r="175" spans="2:3" x14ac:dyDescent="0.35">
      <c r="B175" s="517">
        <v>45904</v>
      </c>
      <c r="C175" s="119">
        <v>24734.3</v>
      </c>
    </row>
    <row r="176" spans="2:3" x14ac:dyDescent="0.35">
      <c r="B176" s="517">
        <v>45903</v>
      </c>
      <c r="C176" s="119">
        <v>24715.05</v>
      </c>
    </row>
    <row r="177" spans="2:3" x14ac:dyDescent="0.35">
      <c r="B177" s="517">
        <v>45902</v>
      </c>
      <c r="C177" s="119">
        <v>24579.599999999999</v>
      </c>
    </row>
    <row r="178" spans="2:3" x14ac:dyDescent="0.35">
      <c r="B178" s="517">
        <v>45901</v>
      </c>
      <c r="C178" s="119">
        <v>24625.05</v>
      </c>
    </row>
    <row r="179" spans="2:3" x14ac:dyDescent="0.35">
      <c r="B179" s="517">
        <v>45898</v>
      </c>
      <c r="C179" s="119">
        <v>24426.85</v>
      </c>
    </row>
    <row r="180" spans="2:3" x14ac:dyDescent="0.35">
      <c r="B180" s="517">
        <v>45897</v>
      </c>
      <c r="C180" s="119">
        <v>24500.9</v>
      </c>
    </row>
    <row r="181" spans="2:3" x14ac:dyDescent="0.35">
      <c r="B181" s="517">
        <v>45895</v>
      </c>
      <c r="C181" s="119">
        <v>24712.05</v>
      </c>
    </row>
    <row r="182" spans="2:3" x14ac:dyDescent="0.35">
      <c r="B182" s="517">
        <v>45894</v>
      </c>
      <c r="C182" s="119">
        <v>24967.75</v>
      </c>
    </row>
    <row r="183" spans="2:3" x14ac:dyDescent="0.35">
      <c r="B183" s="517">
        <v>45891</v>
      </c>
      <c r="C183" s="119">
        <v>24870.1</v>
      </c>
    </row>
    <row r="184" spans="2:3" x14ac:dyDescent="0.35">
      <c r="B184" s="517">
        <v>45890</v>
      </c>
      <c r="C184" s="119">
        <v>25083.75</v>
      </c>
    </row>
    <row r="185" spans="2:3" x14ac:dyDescent="0.35">
      <c r="B185" s="517">
        <v>45889</v>
      </c>
      <c r="C185" s="119">
        <v>25050.55</v>
      </c>
    </row>
    <row r="186" spans="2:3" x14ac:dyDescent="0.35">
      <c r="B186" s="517">
        <v>45888</v>
      </c>
      <c r="C186" s="119">
        <v>24980.65</v>
      </c>
    </row>
    <row r="187" spans="2:3" x14ac:dyDescent="0.35">
      <c r="B187" s="517">
        <v>45887</v>
      </c>
      <c r="C187" s="119">
        <v>24876.95</v>
      </c>
    </row>
    <row r="188" spans="2:3" x14ac:dyDescent="0.35">
      <c r="B188" s="517">
        <v>45883</v>
      </c>
      <c r="C188" s="119">
        <v>24631.3</v>
      </c>
    </row>
    <row r="189" spans="2:3" x14ac:dyDescent="0.35">
      <c r="B189" s="517">
        <v>45882</v>
      </c>
      <c r="C189" s="119">
        <v>24619.35</v>
      </c>
    </row>
    <row r="190" spans="2:3" x14ac:dyDescent="0.35">
      <c r="B190" s="517">
        <v>45881</v>
      </c>
      <c r="C190" s="119">
        <v>24487.4</v>
      </c>
    </row>
    <row r="191" spans="2:3" x14ac:dyDescent="0.35">
      <c r="B191" s="517">
        <v>45880</v>
      </c>
      <c r="C191" s="119">
        <v>24585.05</v>
      </c>
    </row>
    <row r="192" spans="2:3" x14ac:dyDescent="0.35">
      <c r="B192" s="517">
        <v>45877</v>
      </c>
      <c r="C192" s="119">
        <v>24363.3</v>
      </c>
    </row>
    <row r="193" spans="2:3" x14ac:dyDescent="0.35">
      <c r="B193" s="517">
        <v>45876</v>
      </c>
      <c r="C193" s="119">
        <v>24596.15</v>
      </c>
    </row>
    <row r="194" spans="2:3" x14ac:dyDescent="0.35">
      <c r="B194" s="517">
        <v>45875</v>
      </c>
      <c r="C194" s="119">
        <v>24574.2</v>
      </c>
    </row>
    <row r="195" spans="2:3" x14ac:dyDescent="0.35">
      <c r="B195" s="517">
        <v>45874</v>
      </c>
      <c r="C195" s="119">
        <v>24649.55</v>
      </c>
    </row>
    <row r="196" spans="2:3" x14ac:dyDescent="0.35">
      <c r="B196" s="517">
        <v>45873</v>
      </c>
      <c r="C196" s="119">
        <v>24722.75</v>
      </c>
    </row>
    <row r="197" spans="2:3" x14ac:dyDescent="0.35">
      <c r="B197" s="517">
        <v>45870</v>
      </c>
      <c r="C197" s="119">
        <v>24565.35</v>
      </c>
    </row>
    <row r="198" spans="2:3" x14ac:dyDescent="0.35">
      <c r="B198" s="517">
        <v>45869</v>
      </c>
      <c r="C198" s="119">
        <v>24768.35</v>
      </c>
    </row>
    <row r="199" spans="2:3" x14ac:dyDescent="0.35">
      <c r="B199" s="517">
        <v>45868</v>
      </c>
      <c r="C199" s="119">
        <v>24855.05</v>
      </c>
    </row>
    <row r="200" spans="2:3" x14ac:dyDescent="0.35">
      <c r="B200" s="517">
        <v>45867</v>
      </c>
      <c r="C200" s="119">
        <v>24821.1</v>
      </c>
    </row>
    <row r="201" spans="2:3" x14ac:dyDescent="0.35">
      <c r="B201" s="517">
        <v>45866</v>
      </c>
      <c r="C201" s="119">
        <v>24680.9</v>
      </c>
    </row>
    <row r="202" spans="2:3" x14ac:dyDescent="0.35">
      <c r="B202" s="517">
        <v>45863</v>
      </c>
      <c r="C202" s="119">
        <v>24837</v>
      </c>
    </row>
    <row r="203" spans="2:3" x14ac:dyDescent="0.35">
      <c r="B203" s="517">
        <v>45862</v>
      </c>
      <c r="C203" s="119">
        <v>25062.1</v>
      </c>
    </row>
    <row r="204" spans="2:3" x14ac:dyDescent="0.35">
      <c r="B204" s="517">
        <v>45861</v>
      </c>
      <c r="C204" s="119">
        <v>25219.9</v>
      </c>
    </row>
    <row r="205" spans="2:3" x14ac:dyDescent="0.35">
      <c r="B205" s="517">
        <v>45860</v>
      </c>
      <c r="C205" s="119">
        <v>25060.9</v>
      </c>
    </row>
    <row r="206" spans="2:3" x14ac:dyDescent="0.35">
      <c r="B206" s="517">
        <v>45859</v>
      </c>
      <c r="C206" s="119">
        <v>25090.7</v>
      </c>
    </row>
    <row r="207" spans="2:3" x14ac:dyDescent="0.35">
      <c r="B207" s="517">
        <v>45856</v>
      </c>
      <c r="C207" s="119">
        <v>24968.400000000001</v>
      </c>
    </row>
    <row r="208" spans="2:3" x14ac:dyDescent="0.35">
      <c r="B208" s="517">
        <v>45855</v>
      </c>
      <c r="C208" s="119">
        <v>25111.45</v>
      </c>
    </row>
    <row r="209" spans="2:3" x14ac:dyDescent="0.35">
      <c r="B209" s="517">
        <v>45854</v>
      </c>
      <c r="C209" s="119">
        <v>25212.05</v>
      </c>
    </row>
    <row r="210" spans="2:3" x14ac:dyDescent="0.35">
      <c r="B210" s="517">
        <v>45853</v>
      </c>
      <c r="C210" s="119">
        <v>25195.8</v>
      </c>
    </row>
    <row r="211" spans="2:3" x14ac:dyDescent="0.35">
      <c r="B211" s="517">
        <v>45852</v>
      </c>
      <c r="C211" s="119">
        <v>25082.3</v>
      </c>
    </row>
    <row r="212" spans="2:3" x14ac:dyDescent="0.35">
      <c r="B212" s="517">
        <v>45849</v>
      </c>
      <c r="C212" s="119">
        <v>25149.85</v>
      </c>
    </row>
    <row r="213" spans="2:3" x14ac:dyDescent="0.35">
      <c r="B213" s="517">
        <v>45848</v>
      </c>
      <c r="C213" s="119">
        <v>25355.25</v>
      </c>
    </row>
    <row r="214" spans="2:3" x14ac:dyDescent="0.35">
      <c r="B214" s="517">
        <v>45847</v>
      </c>
      <c r="C214" s="119">
        <v>25476.1</v>
      </c>
    </row>
    <row r="215" spans="2:3" x14ac:dyDescent="0.35">
      <c r="B215" s="517">
        <v>45846</v>
      </c>
      <c r="C215" s="119">
        <v>25522.5</v>
      </c>
    </row>
    <row r="216" spans="2:3" x14ac:dyDescent="0.35">
      <c r="B216" s="517">
        <v>45845</v>
      </c>
      <c r="C216" s="119">
        <v>25461.3</v>
      </c>
    </row>
    <row r="217" spans="2:3" x14ac:dyDescent="0.35">
      <c r="B217" s="517">
        <v>45842</v>
      </c>
      <c r="C217" s="119">
        <v>25461</v>
      </c>
    </row>
    <row r="218" spans="2:3" x14ac:dyDescent="0.35">
      <c r="B218" s="517">
        <v>45841</v>
      </c>
      <c r="C218" s="119">
        <v>25405.3</v>
      </c>
    </row>
    <row r="219" spans="2:3" x14ac:dyDescent="0.35">
      <c r="B219" s="517">
        <v>45840</v>
      </c>
      <c r="C219" s="119">
        <v>25453.4</v>
      </c>
    </row>
    <row r="220" spans="2:3" x14ac:dyDescent="0.35">
      <c r="B220" s="517">
        <v>45839</v>
      </c>
      <c r="C220" s="119">
        <v>25541.8</v>
      </c>
    </row>
    <row r="221" spans="2:3" x14ac:dyDescent="0.35">
      <c r="B221" s="517">
        <v>45838</v>
      </c>
      <c r="C221" s="119">
        <v>25517.05</v>
      </c>
    </row>
    <row r="222" spans="2:3" x14ac:dyDescent="0.35">
      <c r="B222" s="517">
        <v>45835</v>
      </c>
      <c r="C222" s="119">
        <v>25637.8</v>
      </c>
    </row>
    <row r="223" spans="2:3" x14ac:dyDescent="0.35">
      <c r="B223" s="517">
        <v>45834</v>
      </c>
      <c r="C223" s="119">
        <v>25549</v>
      </c>
    </row>
    <row r="224" spans="2:3" x14ac:dyDescent="0.35">
      <c r="B224" s="517">
        <v>45833</v>
      </c>
      <c r="C224" s="119">
        <v>25244.75</v>
      </c>
    </row>
    <row r="225" spans="2:3" x14ac:dyDescent="0.35">
      <c r="B225" s="517">
        <v>45832</v>
      </c>
      <c r="C225" s="119">
        <v>25044.35</v>
      </c>
    </row>
    <row r="226" spans="2:3" x14ac:dyDescent="0.35">
      <c r="B226" s="517">
        <v>45831</v>
      </c>
      <c r="C226" s="119">
        <v>24971.9</v>
      </c>
    </row>
    <row r="227" spans="2:3" x14ac:dyDescent="0.35">
      <c r="B227" s="517">
        <v>45828</v>
      </c>
      <c r="C227" s="119">
        <v>25112.400000000001</v>
      </c>
    </row>
    <row r="228" spans="2:3" x14ac:dyDescent="0.35">
      <c r="B228" s="517">
        <v>45827</v>
      </c>
      <c r="C228" s="119">
        <v>24793.25</v>
      </c>
    </row>
    <row r="229" spans="2:3" x14ac:dyDescent="0.35">
      <c r="B229" s="517">
        <v>45826</v>
      </c>
      <c r="C229" s="119">
        <v>24812.05</v>
      </c>
    </row>
    <row r="230" spans="2:3" x14ac:dyDescent="0.35">
      <c r="B230" s="517">
        <v>45825</v>
      </c>
      <c r="C230" s="119">
        <v>24853.4</v>
      </c>
    </row>
    <row r="231" spans="2:3" x14ac:dyDescent="0.35">
      <c r="B231" s="517">
        <v>45824</v>
      </c>
      <c r="C231" s="119">
        <v>24946.5</v>
      </c>
    </row>
    <row r="232" spans="2:3" x14ac:dyDescent="0.35">
      <c r="B232" s="517">
        <v>45821</v>
      </c>
      <c r="C232" s="119">
        <v>24718.6</v>
      </c>
    </row>
    <row r="233" spans="2:3" x14ac:dyDescent="0.35">
      <c r="B233" s="517">
        <v>45820</v>
      </c>
      <c r="C233" s="119">
        <v>24888.2</v>
      </c>
    </row>
    <row r="234" spans="2:3" x14ac:dyDescent="0.35">
      <c r="B234" s="517">
        <v>45819</v>
      </c>
      <c r="C234" s="119">
        <v>25141.4</v>
      </c>
    </row>
    <row r="235" spans="2:3" x14ac:dyDescent="0.35">
      <c r="B235" s="517">
        <v>45818</v>
      </c>
      <c r="C235" s="119">
        <v>25104.25</v>
      </c>
    </row>
    <row r="236" spans="2:3" x14ac:dyDescent="0.35">
      <c r="B236" s="517">
        <v>45817</v>
      </c>
      <c r="C236" s="119">
        <v>25103.200000000001</v>
      </c>
    </row>
    <row r="237" spans="2:3" x14ac:dyDescent="0.35">
      <c r="B237" s="517">
        <v>45814</v>
      </c>
      <c r="C237" s="119">
        <v>25003.05</v>
      </c>
    </row>
    <row r="238" spans="2:3" x14ac:dyDescent="0.35">
      <c r="B238" s="517">
        <v>45813</v>
      </c>
      <c r="C238" s="119">
        <v>24750.9</v>
      </c>
    </row>
    <row r="239" spans="2:3" x14ac:dyDescent="0.35">
      <c r="B239" s="517">
        <v>45812</v>
      </c>
      <c r="C239" s="119">
        <v>24620.2</v>
      </c>
    </row>
    <row r="240" spans="2:3" x14ac:dyDescent="0.35">
      <c r="B240" s="517">
        <v>45811</v>
      </c>
      <c r="C240" s="119">
        <v>24542.5</v>
      </c>
    </row>
    <row r="241" spans="2:3" x14ac:dyDescent="0.35">
      <c r="B241" s="517">
        <v>45810</v>
      </c>
      <c r="C241" s="119">
        <v>24716.6</v>
      </c>
    </row>
    <row r="242" spans="2:3" x14ac:dyDescent="0.35">
      <c r="B242" s="517">
        <v>45807</v>
      </c>
      <c r="C242" s="119">
        <v>24750.7</v>
      </c>
    </row>
    <row r="243" spans="2:3" x14ac:dyDescent="0.35">
      <c r="B243" s="517">
        <v>45806</v>
      </c>
      <c r="C243" s="119">
        <v>24833.599999999999</v>
      </c>
    </row>
    <row r="244" spans="2:3" x14ac:dyDescent="0.35">
      <c r="B244" s="517">
        <v>45805</v>
      </c>
      <c r="C244" s="119">
        <v>24752.45</v>
      </c>
    </row>
    <row r="245" spans="2:3" x14ac:dyDescent="0.35">
      <c r="B245" s="517">
        <v>45804</v>
      </c>
      <c r="C245" s="119">
        <v>24826.2</v>
      </c>
    </row>
    <row r="246" spans="2:3" x14ac:dyDescent="0.35">
      <c r="B246" s="517">
        <v>45803</v>
      </c>
      <c r="C246" s="119">
        <v>25001.15</v>
      </c>
    </row>
    <row r="247" spans="2:3" x14ac:dyDescent="0.35">
      <c r="B247" s="517">
        <v>45800</v>
      </c>
      <c r="C247" s="119">
        <v>24853.15</v>
      </c>
    </row>
    <row r="248" spans="2:3" x14ac:dyDescent="0.35">
      <c r="B248" s="517">
        <v>45799</v>
      </c>
      <c r="C248" s="119">
        <v>24609.7</v>
      </c>
    </row>
    <row r="249" spans="2:3" x14ac:dyDescent="0.35">
      <c r="B249" s="517">
        <v>45798</v>
      </c>
      <c r="C249" s="119">
        <v>24813.45</v>
      </c>
    </row>
    <row r="250" spans="2:3" x14ac:dyDescent="0.35">
      <c r="B250" s="517">
        <v>45797</v>
      </c>
      <c r="C250" s="119">
        <v>24683.9</v>
      </c>
    </row>
    <row r="251" spans="2:3" x14ac:dyDescent="0.35">
      <c r="B251" s="517">
        <v>45796</v>
      </c>
      <c r="C251" s="119">
        <v>24945.45</v>
      </c>
    </row>
    <row r="252" spans="2:3" x14ac:dyDescent="0.35">
      <c r="B252" s="517">
        <v>45793</v>
      </c>
      <c r="C252" s="119">
        <v>25019.8</v>
      </c>
    </row>
    <row r="253" spans="2:3" x14ac:dyDescent="0.35">
      <c r="B253" s="517">
        <v>45792</v>
      </c>
      <c r="C253" s="119">
        <v>25062.1</v>
      </c>
    </row>
    <row r="254" spans="2:3" x14ac:dyDescent="0.35">
      <c r="B254" s="517">
        <v>45791</v>
      </c>
      <c r="C254" s="119">
        <v>24666.9</v>
      </c>
    </row>
    <row r="255" spans="2:3" x14ac:dyDescent="0.35">
      <c r="B255" s="517">
        <v>45790</v>
      </c>
      <c r="C255" s="119">
        <v>24578.35</v>
      </c>
    </row>
    <row r="256" spans="2:3" x14ac:dyDescent="0.35">
      <c r="B256" s="517">
        <v>45789</v>
      </c>
      <c r="C256" s="119">
        <v>24924.7</v>
      </c>
    </row>
    <row r="257" spans="2:3" x14ac:dyDescent="0.35">
      <c r="B257" s="517">
        <v>45786</v>
      </c>
      <c r="C257" s="119">
        <v>24008</v>
      </c>
    </row>
    <row r="258" spans="2:3" x14ac:dyDescent="0.35">
      <c r="B258" s="517">
        <v>45785</v>
      </c>
      <c r="C258" s="119">
        <v>24273.8</v>
      </c>
    </row>
    <row r="259" spans="2:3" x14ac:dyDescent="0.35">
      <c r="B259" s="517">
        <v>45784</v>
      </c>
      <c r="C259" s="119">
        <v>24414.400000000001</v>
      </c>
    </row>
    <row r="260" spans="2:3" x14ac:dyDescent="0.35">
      <c r="B260" s="517">
        <v>45783</v>
      </c>
      <c r="C260" s="119">
        <v>24379.599999999999</v>
      </c>
    </row>
    <row r="261" spans="2:3" x14ac:dyDescent="0.35">
      <c r="B261" s="517">
        <v>45782</v>
      </c>
      <c r="C261" s="119">
        <v>24461.15</v>
      </c>
    </row>
    <row r="262" spans="2:3" x14ac:dyDescent="0.35">
      <c r="B262" s="517">
        <v>45779</v>
      </c>
      <c r="C262" s="119">
        <v>24346.7</v>
      </c>
    </row>
    <row r="263" spans="2:3" x14ac:dyDescent="0.35">
      <c r="B263" s="517">
        <v>45777</v>
      </c>
      <c r="C263" s="119">
        <v>24334.2</v>
      </c>
    </row>
    <row r="264" spans="2:3" x14ac:dyDescent="0.35">
      <c r="B264" s="517">
        <v>45776</v>
      </c>
      <c r="C264" s="119">
        <v>24335.95</v>
      </c>
    </row>
    <row r="265" spans="2:3" x14ac:dyDescent="0.35">
      <c r="B265" s="517">
        <v>45775</v>
      </c>
      <c r="C265" s="119">
        <v>24328.5</v>
      </c>
    </row>
    <row r="266" spans="2:3" x14ac:dyDescent="0.35">
      <c r="B266" s="517">
        <v>45772</v>
      </c>
      <c r="C266" s="119">
        <v>24039.35</v>
      </c>
    </row>
    <row r="267" spans="2:3" x14ac:dyDescent="0.35">
      <c r="B267" s="517">
        <v>45771</v>
      </c>
      <c r="C267" s="119">
        <v>24246.7</v>
      </c>
    </row>
    <row r="268" spans="2:3" x14ac:dyDescent="0.35">
      <c r="B268" s="517">
        <v>45770</v>
      </c>
      <c r="C268" s="119">
        <v>24328.95</v>
      </c>
    </row>
    <row r="269" spans="2:3" x14ac:dyDescent="0.35">
      <c r="B269" s="517">
        <v>45769</v>
      </c>
      <c r="C269" s="119">
        <v>24167.25</v>
      </c>
    </row>
    <row r="270" spans="2:3" x14ac:dyDescent="0.35">
      <c r="B270" s="517">
        <v>45768</v>
      </c>
      <c r="C270" s="119">
        <v>24125.55</v>
      </c>
    </row>
    <row r="271" spans="2:3" x14ac:dyDescent="0.35">
      <c r="B271" s="517">
        <v>45764</v>
      </c>
      <c r="C271" s="119">
        <v>23851.65</v>
      </c>
    </row>
    <row r="272" spans="2:3" x14ac:dyDescent="0.35">
      <c r="B272" s="517">
        <v>45763</v>
      </c>
      <c r="C272" s="119">
        <v>23437.200000000001</v>
      </c>
    </row>
    <row r="273" spans="2:3" x14ac:dyDescent="0.35">
      <c r="B273" s="517">
        <v>45762</v>
      </c>
      <c r="C273" s="119">
        <v>23328.55</v>
      </c>
    </row>
    <row r="274" spans="2:3" x14ac:dyDescent="0.35">
      <c r="B274" s="517">
        <v>45758</v>
      </c>
      <c r="C274" s="119">
        <v>22828.55</v>
      </c>
    </row>
    <row r="275" spans="2:3" x14ac:dyDescent="0.35">
      <c r="B275" s="517">
        <v>45756</v>
      </c>
      <c r="C275" s="119">
        <v>22399.15</v>
      </c>
    </row>
    <row r="276" spans="2:3" x14ac:dyDescent="0.35">
      <c r="B276" s="517">
        <v>45755</v>
      </c>
      <c r="C276" s="119">
        <v>22535.85</v>
      </c>
    </row>
    <row r="277" spans="2:3" x14ac:dyDescent="0.35">
      <c r="B277" s="517">
        <v>45754</v>
      </c>
      <c r="C277" s="119">
        <v>22161.599999999999</v>
      </c>
    </row>
    <row r="278" spans="2:3" x14ac:dyDescent="0.35">
      <c r="B278" s="517">
        <v>45751</v>
      </c>
      <c r="C278" s="119">
        <v>22904.45</v>
      </c>
    </row>
    <row r="279" spans="2:3" x14ac:dyDescent="0.35">
      <c r="B279" s="517">
        <v>45750</v>
      </c>
      <c r="C279" s="119">
        <v>23250.1</v>
      </c>
    </row>
    <row r="280" spans="2:3" x14ac:dyDescent="0.35">
      <c r="B280" s="517">
        <v>45749</v>
      </c>
      <c r="C280" s="119">
        <v>23332.35</v>
      </c>
    </row>
    <row r="281" spans="2:3" x14ac:dyDescent="0.35">
      <c r="B281" s="517">
        <v>45748</v>
      </c>
      <c r="C281" s="119">
        <v>23165.7</v>
      </c>
    </row>
    <row r="282" spans="2:3" x14ac:dyDescent="0.35">
      <c r="B282" s="517">
        <v>45744</v>
      </c>
      <c r="C282" s="119">
        <v>23519.35</v>
      </c>
    </row>
    <row r="283" spans="2:3" x14ac:dyDescent="0.35">
      <c r="B283" s="517">
        <v>45743</v>
      </c>
      <c r="C283" s="119">
        <v>23591.95</v>
      </c>
    </row>
    <row r="284" spans="2:3" x14ac:dyDescent="0.35">
      <c r="B284" s="517">
        <v>45742</v>
      </c>
      <c r="C284" s="119">
        <v>23486.85</v>
      </c>
    </row>
    <row r="285" spans="2:3" x14ac:dyDescent="0.35">
      <c r="B285" s="517">
        <v>45741</v>
      </c>
      <c r="C285" s="119">
        <v>23668.65</v>
      </c>
    </row>
    <row r="286" spans="2:3" x14ac:dyDescent="0.35">
      <c r="B286" s="517">
        <v>45740</v>
      </c>
      <c r="C286" s="119">
        <v>23658.35</v>
      </c>
    </row>
    <row r="287" spans="2:3" x14ac:dyDescent="0.35">
      <c r="B287" s="517">
        <v>45737</v>
      </c>
      <c r="C287" s="119">
        <v>23350.400000000001</v>
      </c>
    </row>
    <row r="288" spans="2:3" x14ac:dyDescent="0.35">
      <c r="B288" s="517">
        <v>45736</v>
      </c>
      <c r="C288" s="119">
        <v>23190.65</v>
      </c>
    </row>
    <row r="289" spans="2:3" x14ac:dyDescent="0.35">
      <c r="B289" s="517">
        <v>45735</v>
      </c>
      <c r="C289" s="119">
        <v>22907.599999999999</v>
      </c>
    </row>
    <row r="290" spans="2:3" x14ac:dyDescent="0.35">
      <c r="B290" s="517">
        <v>45734</v>
      </c>
      <c r="C290" s="119">
        <v>22834.3</v>
      </c>
    </row>
    <row r="291" spans="2:3" x14ac:dyDescent="0.35">
      <c r="B291" s="517">
        <v>45733</v>
      </c>
      <c r="C291" s="119">
        <v>22508.75</v>
      </c>
    </row>
    <row r="292" spans="2:3" x14ac:dyDescent="0.35">
      <c r="B292" s="517">
        <v>45729</v>
      </c>
      <c r="C292" s="119">
        <v>22397.200000000001</v>
      </c>
    </row>
    <row r="293" spans="2:3" x14ac:dyDescent="0.35">
      <c r="B293" s="517">
        <v>45728</v>
      </c>
      <c r="C293" s="119">
        <v>22470.5</v>
      </c>
    </row>
    <row r="294" spans="2:3" x14ac:dyDescent="0.35">
      <c r="B294" s="517">
        <v>45727</v>
      </c>
      <c r="C294" s="119">
        <v>22497.9</v>
      </c>
    </row>
    <row r="295" spans="2:3" x14ac:dyDescent="0.35">
      <c r="B295" s="517">
        <v>45726</v>
      </c>
      <c r="C295" s="119">
        <v>22460.3</v>
      </c>
    </row>
    <row r="296" spans="2:3" x14ac:dyDescent="0.35">
      <c r="B296" s="517">
        <v>45723</v>
      </c>
      <c r="C296" s="119">
        <v>22552.5</v>
      </c>
    </row>
    <row r="297" spans="2:3" x14ac:dyDescent="0.35">
      <c r="B297" s="517">
        <v>45722</v>
      </c>
      <c r="C297" s="119">
        <v>22544.7</v>
      </c>
    </row>
    <row r="298" spans="2:3" x14ac:dyDescent="0.35">
      <c r="B298" s="517">
        <v>45721</v>
      </c>
      <c r="C298" s="119">
        <v>22337.3</v>
      </c>
    </row>
    <row r="299" spans="2:3" x14ac:dyDescent="0.35">
      <c r="B299" s="517">
        <v>45720</v>
      </c>
      <c r="C299" s="119">
        <v>22082.65</v>
      </c>
    </row>
    <row r="300" spans="2:3" x14ac:dyDescent="0.35">
      <c r="B300" s="517">
        <v>45719</v>
      </c>
      <c r="C300" s="119">
        <v>22119.3</v>
      </c>
    </row>
    <row r="301" spans="2:3" x14ac:dyDescent="0.35">
      <c r="B301" s="517">
        <v>45716</v>
      </c>
      <c r="C301" s="119">
        <v>22124.7</v>
      </c>
    </row>
    <row r="302" spans="2:3" x14ac:dyDescent="0.35">
      <c r="B302" s="517">
        <v>45715</v>
      </c>
      <c r="C302" s="119">
        <v>22545.05</v>
      </c>
    </row>
    <row r="303" spans="2:3" x14ac:dyDescent="0.35">
      <c r="B303" s="517">
        <v>45713</v>
      </c>
      <c r="C303" s="119">
        <v>22547.55</v>
      </c>
    </row>
    <row r="304" spans="2:3" x14ac:dyDescent="0.35">
      <c r="B304" s="517">
        <v>45712</v>
      </c>
      <c r="C304" s="119">
        <v>22553.35</v>
      </c>
    </row>
    <row r="305" spans="2:3" x14ac:dyDescent="0.35">
      <c r="B305" s="517">
        <v>45709</v>
      </c>
      <c r="C305" s="119">
        <v>22795.9</v>
      </c>
    </row>
    <row r="306" spans="2:3" x14ac:dyDescent="0.35">
      <c r="B306" s="517">
        <v>45708</v>
      </c>
      <c r="C306" s="119">
        <v>22913.15</v>
      </c>
    </row>
    <row r="307" spans="2:3" x14ac:dyDescent="0.35">
      <c r="B307" s="517">
        <v>45707</v>
      </c>
      <c r="C307" s="119">
        <v>22932.9</v>
      </c>
    </row>
    <row r="308" spans="2:3" x14ac:dyDescent="0.35">
      <c r="B308" s="517">
        <v>45706</v>
      </c>
      <c r="C308" s="119">
        <v>22945.3</v>
      </c>
    </row>
    <row r="309" spans="2:3" x14ac:dyDescent="0.35">
      <c r="B309" s="517">
        <v>45705</v>
      </c>
      <c r="C309" s="119">
        <v>22959.5</v>
      </c>
    </row>
    <row r="310" spans="2:3" x14ac:dyDescent="0.35">
      <c r="B310" s="517">
        <v>45702</v>
      </c>
      <c r="C310" s="119">
        <v>22929.25</v>
      </c>
    </row>
    <row r="311" spans="2:3" x14ac:dyDescent="0.35">
      <c r="B311" s="517">
        <v>45701</v>
      </c>
      <c r="C311" s="119">
        <v>23031.4</v>
      </c>
    </row>
    <row r="312" spans="2:3" x14ac:dyDescent="0.35">
      <c r="B312" s="517">
        <v>45700</v>
      </c>
      <c r="C312" s="119">
        <v>23045.25</v>
      </c>
    </row>
    <row r="313" spans="2:3" x14ac:dyDescent="0.35">
      <c r="B313" s="517">
        <v>45699</v>
      </c>
      <c r="C313" s="119">
        <v>23071.8</v>
      </c>
    </row>
    <row r="314" spans="2:3" x14ac:dyDescent="0.35">
      <c r="B314" s="517">
        <v>45698</v>
      </c>
      <c r="C314" s="119">
        <v>23381.599999999999</v>
      </c>
    </row>
    <row r="315" spans="2:3" x14ac:dyDescent="0.35">
      <c r="B315" s="517">
        <v>45695</v>
      </c>
      <c r="C315" s="119">
        <v>23559.95</v>
      </c>
    </row>
    <row r="316" spans="2:3" x14ac:dyDescent="0.35">
      <c r="B316" s="517">
        <v>45694</v>
      </c>
      <c r="C316" s="119">
        <v>23603.35</v>
      </c>
    </row>
    <row r="317" spans="2:3" x14ac:dyDescent="0.35">
      <c r="B317" s="517">
        <v>45693</v>
      </c>
      <c r="C317" s="119">
        <v>23696.3</v>
      </c>
    </row>
    <row r="318" spans="2:3" x14ac:dyDescent="0.35">
      <c r="B318" s="517">
        <v>45692</v>
      </c>
      <c r="C318" s="119">
        <v>23739.25</v>
      </c>
    </row>
    <row r="319" spans="2:3" x14ac:dyDescent="0.35">
      <c r="B319" s="517">
        <v>45691</v>
      </c>
      <c r="C319" s="119">
        <v>23361.05</v>
      </c>
    </row>
    <row r="320" spans="2:3" x14ac:dyDescent="0.35">
      <c r="B320" s="517">
        <v>45689</v>
      </c>
      <c r="C320" s="119">
        <v>23482.15</v>
      </c>
    </row>
    <row r="321" spans="2:3" x14ac:dyDescent="0.35">
      <c r="B321" s="517">
        <v>45688</v>
      </c>
      <c r="C321" s="119">
        <v>23508.400000000001</v>
      </c>
    </row>
    <row r="322" spans="2:3" x14ac:dyDescent="0.35">
      <c r="B322" s="517">
        <v>45687</v>
      </c>
      <c r="C322" s="119">
        <v>23249.5</v>
      </c>
    </row>
    <row r="323" spans="2:3" x14ac:dyDescent="0.35">
      <c r="B323" s="517">
        <v>45686</v>
      </c>
      <c r="C323" s="119">
        <v>23163.1</v>
      </c>
    </row>
    <row r="324" spans="2:3" x14ac:dyDescent="0.35">
      <c r="B324" s="517">
        <v>45685</v>
      </c>
      <c r="C324" s="119">
        <v>22957.25</v>
      </c>
    </row>
    <row r="325" spans="2:3" x14ac:dyDescent="0.35">
      <c r="B325" s="517">
        <v>45684</v>
      </c>
      <c r="C325" s="119">
        <v>22829.15</v>
      </c>
    </row>
    <row r="326" spans="2:3" x14ac:dyDescent="0.35">
      <c r="B326" s="517">
        <v>45681</v>
      </c>
      <c r="C326" s="119">
        <v>23092.2</v>
      </c>
    </row>
    <row r="327" spans="2:3" x14ac:dyDescent="0.35">
      <c r="B327" s="517">
        <v>45680</v>
      </c>
      <c r="C327" s="119">
        <v>23205.35</v>
      </c>
    </row>
    <row r="328" spans="2:3" x14ac:dyDescent="0.35">
      <c r="B328" s="517">
        <v>45679</v>
      </c>
      <c r="C328" s="119">
        <v>23155.35</v>
      </c>
    </row>
    <row r="329" spans="2:3" x14ac:dyDescent="0.35">
      <c r="B329" s="517">
        <v>45678</v>
      </c>
      <c r="C329" s="119">
        <v>23024.65</v>
      </c>
    </row>
    <row r="330" spans="2:3" x14ac:dyDescent="0.35">
      <c r="B330" s="517">
        <v>45677</v>
      </c>
      <c r="C330" s="119">
        <v>23344.75</v>
      </c>
    </row>
    <row r="331" spans="2:3" x14ac:dyDescent="0.35">
      <c r="B331" s="517">
        <v>45674</v>
      </c>
      <c r="C331" s="119">
        <v>23203.200000000001</v>
      </c>
    </row>
    <row r="332" spans="2:3" x14ac:dyDescent="0.35">
      <c r="B332" s="517">
        <v>45673</v>
      </c>
      <c r="C332" s="119">
        <v>23311.8</v>
      </c>
    </row>
    <row r="333" spans="2:3" x14ac:dyDescent="0.35">
      <c r="B333" s="517">
        <v>45672</v>
      </c>
      <c r="C333" s="119">
        <v>23213.200000000001</v>
      </c>
    </row>
    <row r="334" spans="2:3" x14ac:dyDescent="0.35">
      <c r="B334" s="517">
        <v>45671</v>
      </c>
      <c r="C334" s="119">
        <v>23176.05</v>
      </c>
    </row>
    <row r="335" spans="2:3" x14ac:dyDescent="0.35">
      <c r="B335" s="517">
        <v>45670</v>
      </c>
      <c r="C335" s="119">
        <v>23085.95</v>
      </c>
    </row>
    <row r="336" spans="2:3" x14ac:dyDescent="0.35">
      <c r="B336" s="517">
        <v>45667</v>
      </c>
      <c r="C336" s="119">
        <v>23431.5</v>
      </c>
    </row>
    <row r="337" spans="2:3" x14ac:dyDescent="0.35">
      <c r="B337" s="517">
        <v>45666</v>
      </c>
      <c r="C337" s="119">
        <v>23526.5</v>
      </c>
    </row>
    <row r="338" spans="2:3" x14ac:dyDescent="0.35">
      <c r="B338" s="517">
        <v>45665</v>
      </c>
      <c r="C338" s="119">
        <v>23688.95</v>
      </c>
    </row>
    <row r="339" spans="2:3" x14ac:dyDescent="0.35">
      <c r="B339" s="517">
        <v>45664</v>
      </c>
      <c r="C339" s="119">
        <v>23707.9</v>
      </c>
    </row>
    <row r="340" spans="2:3" x14ac:dyDescent="0.35">
      <c r="B340" s="517">
        <v>45663</v>
      </c>
      <c r="C340" s="119">
        <v>23616.05</v>
      </c>
    </row>
    <row r="341" spans="2:3" x14ac:dyDescent="0.35">
      <c r="B341" s="517">
        <v>45660</v>
      </c>
      <c r="C341" s="119">
        <v>24004.75</v>
      </c>
    </row>
    <row r="342" spans="2:3" x14ac:dyDescent="0.35">
      <c r="B342" s="517">
        <v>45659</v>
      </c>
      <c r="C342" s="119">
        <v>24188.65</v>
      </c>
    </row>
    <row r="343" spans="2:3" x14ac:dyDescent="0.35">
      <c r="B343" s="517">
        <v>45658</v>
      </c>
      <c r="C343" s="119">
        <v>23742.9</v>
      </c>
    </row>
    <row r="344" spans="2:3" x14ac:dyDescent="0.35">
      <c r="B344" s="517">
        <v>45657</v>
      </c>
      <c r="C344" s="119">
        <v>23644.799999999999</v>
      </c>
    </row>
    <row r="345" spans="2:3" x14ac:dyDescent="0.35">
      <c r="B345" s="517">
        <v>45656</v>
      </c>
      <c r="C345" s="119">
        <v>23644.9</v>
      </c>
    </row>
    <row r="346" spans="2:3" x14ac:dyDescent="0.35">
      <c r="B346" s="517">
        <v>45653</v>
      </c>
      <c r="C346" s="119">
        <v>23813.4</v>
      </c>
    </row>
    <row r="347" spans="2:3" x14ac:dyDescent="0.35">
      <c r="B347" s="517">
        <v>45652</v>
      </c>
      <c r="C347" s="119">
        <v>23750.2</v>
      </c>
    </row>
    <row r="348" spans="2:3" x14ac:dyDescent="0.35">
      <c r="B348" s="517">
        <v>45650</v>
      </c>
      <c r="C348" s="119">
        <v>23727.65</v>
      </c>
    </row>
    <row r="349" spans="2:3" x14ac:dyDescent="0.35">
      <c r="B349" s="517">
        <v>45649</v>
      </c>
      <c r="C349" s="119">
        <v>23753.45</v>
      </c>
    </row>
    <row r="350" spans="2:3" x14ac:dyDescent="0.35">
      <c r="B350" s="517">
        <v>45646</v>
      </c>
      <c r="C350" s="119">
        <v>23587.5</v>
      </c>
    </row>
    <row r="351" spans="2:3" x14ac:dyDescent="0.35">
      <c r="B351" s="517">
        <v>45645</v>
      </c>
      <c r="C351" s="119">
        <v>23951.7</v>
      </c>
    </row>
    <row r="352" spans="2:3" x14ac:dyDescent="0.35">
      <c r="B352" s="517">
        <v>45644</v>
      </c>
      <c r="C352" s="119">
        <v>24198.85</v>
      </c>
    </row>
    <row r="353" spans="2:3" x14ac:dyDescent="0.35">
      <c r="B353" s="517">
        <v>45643</v>
      </c>
      <c r="C353" s="119">
        <v>24336</v>
      </c>
    </row>
    <row r="354" spans="2:3" x14ac:dyDescent="0.35">
      <c r="B354" s="517">
        <v>45642</v>
      </c>
      <c r="C354" s="119">
        <v>24668.25</v>
      </c>
    </row>
    <row r="355" spans="2:3" x14ac:dyDescent="0.35">
      <c r="B355" s="517">
        <v>45639</v>
      </c>
      <c r="C355" s="119">
        <v>24768.3</v>
      </c>
    </row>
    <row r="356" spans="2:3" x14ac:dyDescent="0.35">
      <c r="B356" s="517">
        <v>45638</v>
      </c>
      <c r="C356" s="119">
        <v>24548.7</v>
      </c>
    </row>
    <row r="357" spans="2:3" x14ac:dyDescent="0.35">
      <c r="B357" s="517">
        <v>45637</v>
      </c>
      <c r="C357" s="119">
        <v>24641.8</v>
      </c>
    </row>
    <row r="358" spans="2:3" x14ac:dyDescent="0.35">
      <c r="B358" s="517">
        <v>45636</v>
      </c>
      <c r="C358" s="119">
        <v>24610.05</v>
      </c>
    </row>
    <row r="359" spans="2:3" x14ac:dyDescent="0.35">
      <c r="B359" s="517">
        <v>45635</v>
      </c>
      <c r="C359" s="119">
        <v>24619</v>
      </c>
    </row>
    <row r="360" spans="2:3" x14ac:dyDescent="0.35">
      <c r="B360" s="517">
        <v>45632</v>
      </c>
      <c r="C360" s="119">
        <v>24677.8</v>
      </c>
    </row>
    <row r="361" spans="2:3" x14ac:dyDescent="0.35">
      <c r="B361" s="517">
        <v>45631</v>
      </c>
      <c r="C361" s="119">
        <v>24708.400000000001</v>
      </c>
    </row>
    <row r="362" spans="2:3" x14ac:dyDescent="0.35">
      <c r="B362" s="517">
        <v>45630</v>
      </c>
      <c r="C362" s="119">
        <v>24467.45</v>
      </c>
    </row>
    <row r="363" spans="2:3" x14ac:dyDescent="0.35">
      <c r="B363" s="517">
        <v>45629</v>
      </c>
      <c r="C363" s="119">
        <v>24457.15</v>
      </c>
    </row>
    <row r="364" spans="2:3" x14ac:dyDescent="0.35">
      <c r="B364" s="517">
        <v>45628</v>
      </c>
      <c r="C364" s="119">
        <v>24276.05</v>
      </c>
    </row>
    <row r="365" spans="2:3" x14ac:dyDescent="0.35">
      <c r="B365" s="517">
        <v>45625</v>
      </c>
      <c r="C365" s="119">
        <v>24131.1</v>
      </c>
    </row>
    <row r="366" spans="2:3" x14ac:dyDescent="0.35">
      <c r="B366" s="517">
        <v>45624</v>
      </c>
      <c r="C366" s="119">
        <v>23914.15</v>
      </c>
    </row>
    <row r="367" spans="2:3" x14ac:dyDescent="0.35">
      <c r="B367" s="517">
        <v>45623</v>
      </c>
      <c r="C367" s="119">
        <v>24274.9</v>
      </c>
    </row>
    <row r="368" spans="2:3" x14ac:dyDescent="0.35">
      <c r="B368" s="517">
        <v>45622</v>
      </c>
      <c r="C368" s="119">
        <v>24194.5</v>
      </c>
    </row>
    <row r="369" spans="2:3" x14ac:dyDescent="0.35">
      <c r="B369" s="517">
        <v>45621</v>
      </c>
      <c r="C369" s="119">
        <v>24221.9</v>
      </c>
    </row>
    <row r="370" spans="2:3" x14ac:dyDescent="0.35">
      <c r="B370" s="517">
        <v>45618</v>
      </c>
      <c r="C370" s="119">
        <v>23907.25</v>
      </c>
    </row>
    <row r="371" spans="2:3" x14ac:dyDescent="0.35">
      <c r="B371" s="517">
        <v>45617</v>
      </c>
      <c r="C371" s="119">
        <v>23349.9</v>
      </c>
    </row>
    <row r="372" spans="2:3" x14ac:dyDescent="0.35">
      <c r="B372" s="517">
        <v>45615</v>
      </c>
      <c r="C372" s="119">
        <v>23518.5</v>
      </c>
    </row>
    <row r="373" spans="2:3" x14ac:dyDescent="0.35">
      <c r="B373" s="517">
        <v>45614</v>
      </c>
      <c r="C373" s="119">
        <v>23453.8</v>
      </c>
    </row>
    <row r="374" spans="2:3" x14ac:dyDescent="0.35">
      <c r="B374" s="517">
        <v>45610</v>
      </c>
      <c r="C374" s="119">
        <v>23532.7</v>
      </c>
    </row>
    <row r="375" spans="2:3" x14ac:dyDescent="0.35">
      <c r="B375" s="517">
        <v>45609</v>
      </c>
      <c r="C375" s="119">
        <v>23559.05</v>
      </c>
    </row>
    <row r="376" spans="2:3" x14ac:dyDescent="0.35">
      <c r="B376" s="517">
        <v>45608</v>
      </c>
      <c r="C376" s="119">
        <v>23883.45</v>
      </c>
    </row>
    <row r="377" spans="2:3" x14ac:dyDescent="0.35">
      <c r="B377" s="517">
        <v>45607</v>
      </c>
      <c r="C377" s="119">
        <v>24141.3</v>
      </c>
    </row>
    <row r="378" spans="2:3" x14ac:dyDescent="0.35">
      <c r="B378" s="517">
        <v>45604</v>
      </c>
      <c r="C378" s="119">
        <v>24148.2</v>
      </c>
    </row>
    <row r="379" spans="2:3" x14ac:dyDescent="0.35">
      <c r="B379" s="517">
        <v>45603</v>
      </c>
      <c r="C379" s="119">
        <v>24199.35</v>
      </c>
    </row>
    <row r="380" spans="2:3" x14ac:dyDescent="0.35">
      <c r="B380" s="517">
        <v>45602</v>
      </c>
      <c r="C380" s="119">
        <v>24484.05</v>
      </c>
    </row>
    <row r="381" spans="2:3" x14ac:dyDescent="0.35">
      <c r="B381" s="517">
        <v>45601</v>
      </c>
      <c r="C381" s="119">
        <v>24213.3</v>
      </c>
    </row>
    <row r="382" spans="2:3" x14ac:dyDescent="0.35">
      <c r="B382" s="517">
        <v>45600</v>
      </c>
      <c r="C382" s="119">
        <v>23995.35</v>
      </c>
    </row>
    <row r="383" spans="2:3" x14ac:dyDescent="0.35">
      <c r="B383" s="517">
        <v>45597</v>
      </c>
      <c r="C383" s="119">
        <v>24304.35</v>
      </c>
    </row>
    <row r="384" spans="2:3" x14ac:dyDescent="0.35">
      <c r="B384" s="517">
        <v>45596</v>
      </c>
      <c r="C384" s="119">
        <v>24205.35</v>
      </c>
    </row>
    <row r="385" spans="2:3" x14ac:dyDescent="0.35">
      <c r="B385" s="517">
        <v>45595</v>
      </c>
      <c r="C385" s="119">
        <v>24340.85</v>
      </c>
    </row>
    <row r="386" spans="2:3" x14ac:dyDescent="0.35">
      <c r="B386" s="517">
        <v>45594</v>
      </c>
      <c r="C386" s="119">
        <v>24466.85</v>
      </c>
    </row>
    <row r="387" spans="2:3" x14ac:dyDescent="0.35">
      <c r="B387" s="517">
        <v>45593</v>
      </c>
      <c r="C387" s="119">
        <v>24339.15</v>
      </c>
    </row>
    <row r="388" spans="2:3" x14ac:dyDescent="0.35">
      <c r="B388" s="517">
        <v>45590</v>
      </c>
      <c r="C388" s="119">
        <v>24180.799999999999</v>
      </c>
    </row>
    <row r="389" spans="2:3" x14ac:dyDescent="0.35">
      <c r="B389" s="517">
        <v>45589</v>
      </c>
      <c r="C389" s="119">
        <v>24399.4</v>
      </c>
    </row>
    <row r="390" spans="2:3" x14ac:dyDescent="0.35">
      <c r="B390" s="517">
        <v>45588</v>
      </c>
      <c r="C390" s="119">
        <v>24435.5</v>
      </c>
    </row>
    <row r="391" spans="2:3" x14ac:dyDescent="0.35">
      <c r="B391" s="517">
        <v>45587</v>
      </c>
      <c r="C391" s="119">
        <v>24472.1</v>
      </c>
    </row>
    <row r="392" spans="2:3" x14ac:dyDescent="0.35">
      <c r="B392" s="517">
        <v>45586</v>
      </c>
      <c r="C392" s="119">
        <v>24781.1</v>
      </c>
    </row>
    <row r="393" spans="2:3" x14ac:dyDescent="0.35">
      <c r="B393" s="517">
        <v>45583</v>
      </c>
      <c r="C393" s="119">
        <v>24854.05</v>
      </c>
    </row>
    <row r="394" spans="2:3" x14ac:dyDescent="0.35">
      <c r="B394" s="517">
        <v>45582</v>
      </c>
      <c r="C394" s="119">
        <v>24749.85</v>
      </c>
    </row>
    <row r="395" spans="2:3" x14ac:dyDescent="0.35">
      <c r="B395" s="517">
        <v>45581</v>
      </c>
      <c r="C395" s="119">
        <v>24971.3</v>
      </c>
    </row>
    <row r="396" spans="2:3" x14ac:dyDescent="0.35">
      <c r="B396" s="517">
        <v>45580</v>
      </c>
      <c r="C396" s="119">
        <v>25057.35</v>
      </c>
    </row>
    <row r="397" spans="2:3" x14ac:dyDescent="0.35">
      <c r="B397" s="517">
        <v>45579</v>
      </c>
      <c r="C397" s="119">
        <v>25127.95</v>
      </c>
    </row>
    <row r="398" spans="2:3" x14ac:dyDescent="0.35">
      <c r="B398" s="517">
        <v>45576</v>
      </c>
      <c r="C398" s="119">
        <v>24964.25</v>
      </c>
    </row>
    <row r="399" spans="2:3" x14ac:dyDescent="0.35">
      <c r="B399" s="517">
        <v>45575</v>
      </c>
      <c r="C399" s="119">
        <v>24998.45</v>
      </c>
    </row>
    <row r="400" spans="2:3" x14ac:dyDescent="0.35">
      <c r="B400" s="517">
        <v>45574</v>
      </c>
      <c r="C400" s="119">
        <v>24981.95</v>
      </c>
    </row>
    <row r="401" spans="2:3" x14ac:dyDescent="0.35">
      <c r="B401" s="517">
        <v>45573</v>
      </c>
      <c r="C401" s="119">
        <v>25013.15</v>
      </c>
    </row>
    <row r="402" spans="2:3" x14ac:dyDescent="0.35">
      <c r="B402" s="517">
        <v>45572</v>
      </c>
      <c r="C402" s="119">
        <v>24795.75</v>
      </c>
    </row>
    <row r="403" spans="2:3" x14ac:dyDescent="0.35">
      <c r="B403" s="517">
        <v>45569</v>
      </c>
      <c r="C403" s="119">
        <v>25014.6</v>
      </c>
    </row>
    <row r="404" spans="2:3" x14ac:dyDescent="0.35">
      <c r="B404" s="517">
        <v>45568</v>
      </c>
      <c r="C404" s="119">
        <v>25250.1</v>
      </c>
    </row>
    <row r="405" spans="2:3" x14ac:dyDescent="0.35">
      <c r="B405" s="517">
        <v>45566</v>
      </c>
      <c r="C405" s="119">
        <v>25796.9</v>
      </c>
    </row>
    <row r="406" spans="2:3" x14ac:dyDescent="0.35">
      <c r="B406" s="517">
        <v>45565</v>
      </c>
      <c r="C406" s="119">
        <v>25810.85</v>
      </c>
    </row>
    <row r="407" spans="2:3" x14ac:dyDescent="0.35">
      <c r="B407" s="517">
        <v>45562</v>
      </c>
      <c r="C407" s="119">
        <v>26178.95</v>
      </c>
    </row>
    <row r="408" spans="2:3" x14ac:dyDescent="0.35">
      <c r="B408" s="517">
        <v>45561</v>
      </c>
      <c r="C408" s="119">
        <v>26216.05</v>
      </c>
    </row>
    <row r="409" spans="2:3" x14ac:dyDescent="0.35">
      <c r="B409" s="517">
        <v>45560</v>
      </c>
      <c r="C409" s="119">
        <v>26004.15</v>
      </c>
    </row>
    <row r="410" spans="2:3" x14ac:dyDescent="0.35">
      <c r="B410" s="517">
        <v>45559</v>
      </c>
      <c r="C410" s="119">
        <v>25940.400000000001</v>
      </c>
    </row>
    <row r="411" spans="2:3" x14ac:dyDescent="0.35">
      <c r="B411" s="517">
        <v>45558</v>
      </c>
      <c r="C411" s="119">
        <v>25939.05</v>
      </c>
    </row>
    <row r="412" spans="2:3" x14ac:dyDescent="0.35">
      <c r="B412" s="517">
        <v>45555</v>
      </c>
      <c r="C412" s="119">
        <v>25790.95</v>
      </c>
    </row>
    <row r="413" spans="2:3" x14ac:dyDescent="0.35">
      <c r="B413" s="517">
        <v>45554</v>
      </c>
      <c r="C413" s="119">
        <v>25415.8</v>
      </c>
    </row>
    <row r="414" spans="2:3" x14ac:dyDescent="0.35">
      <c r="B414" s="517">
        <v>45553</v>
      </c>
      <c r="C414" s="119">
        <v>25377.55</v>
      </c>
    </row>
    <row r="415" spans="2:3" x14ac:dyDescent="0.35">
      <c r="B415" s="517">
        <v>45552</v>
      </c>
      <c r="C415" s="119">
        <v>25418.55</v>
      </c>
    </row>
    <row r="416" spans="2:3" x14ac:dyDescent="0.35">
      <c r="B416" s="517">
        <v>45551</v>
      </c>
      <c r="C416" s="119">
        <v>25383.75</v>
      </c>
    </row>
    <row r="417" spans="2:3" x14ac:dyDescent="0.35">
      <c r="B417" s="517">
        <v>45548</v>
      </c>
      <c r="C417" s="119">
        <v>25356.5</v>
      </c>
    </row>
    <row r="418" spans="2:3" x14ac:dyDescent="0.35">
      <c r="B418" s="517">
        <v>45547</v>
      </c>
      <c r="C418" s="119">
        <v>25388.9</v>
      </c>
    </row>
    <row r="419" spans="2:3" x14ac:dyDescent="0.35">
      <c r="B419" s="517">
        <v>45546</v>
      </c>
      <c r="C419" s="119">
        <v>24918.45</v>
      </c>
    </row>
    <row r="420" spans="2:3" x14ac:dyDescent="0.35">
      <c r="B420" s="517">
        <v>45545</v>
      </c>
      <c r="C420" s="119">
        <v>25041.1</v>
      </c>
    </row>
    <row r="421" spans="2:3" x14ac:dyDescent="0.35">
      <c r="B421" s="517">
        <v>45544</v>
      </c>
      <c r="C421" s="119">
        <v>24936.400000000001</v>
      </c>
    </row>
    <row r="422" spans="2:3" x14ac:dyDescent="0.35">
      <c r="B422" s="517">
        <v>45541</v>
      </c>
      <c r="C422" s="119">
        <v>24852.15</v>
      </c>
    </row>
    <row r="423" spans="2:3" x14ac:dyDescent="0.35">
      <c r="B423" s="517">
        <v>45540</v>
      </c>
      <c r="C423" s="119">
        <v>25145.1</v>
      </c>
    </row>
    <row r="424" spans="2:3" x14ac:dyDescent="0.35">
      <c r="B424" s="517">
        <v>45539</v>
      </c>
      <c r="C424" s="119">
        <v>25198.7</v>
      </c>
    </row>
    <row r="425" spans="2:3" x14ac:dyDescent="0.35">
      <c r="B425" s="517">
        <v>45538</v>
      </c>
      <c r="C425" s="119">
        <v>25279.85</v>
      </c>
    </row>
    <row r="426" spans="2:3" x14ac:dyDescent="0.35">
      <c r="B426" s="517">
        <v>45537</v>
      </c>
      <c r="C426" s="119">
        <v>25278.7</v>
      </c>
    </row>
    <row r="427" spans="2:3" x14ac:dyDescent="0.35">
      <c r="B427" s="517">
        <v>45534</v>
      </c>
      <c r="C427" s="119">
        <v>25235.9</v>
      </c>
    </row>
    <row r="428" spans="2:3" x14ac:dyDescent="0.35">
      <c r="B428" s="517">
        <v>45533</v>
      </c>
      <c r="C428" s="119">
        <v>25151.95</v>
      </c>
    </row>
    <row r="429" spans="2:3" x14ac:dyDescent="0.35">
      <c r="B429" s="517">
        <v>45532</v>
      </c>
      <c r="C429" s="119">
        <v>25052.35</v>
      </c>
    </row>
    <row r="430" spans="2:3" x14ac:dyDescent="0.35">
      <c r="B430" s="517">
        <v>45531</v>
      </c>
      <c r="C430" s="119">
        <v>25017.75</v>
      </c>
    </row>
    <row r="431" spans="2:3" x14ac:dyDescent="0.35">
      <c r="B431" s="517">
        <v>45530</v>
      </c>
      <c r="C431" s="119">
        <v>25010.6</v>
      </c>
    </row>
    <row r="432" spans="2:3" x14ac:dyDescent="0.35">
      <c r="B432" s="517">
        <v>45527</v>
      </c>
      <c r="C432" s="119">
        <v>24823.15</v>
      </c>
    </row>
    <row r="433" spans="2:3" x14ac:dyDescent="0.35">
      <c r="B433" s="517">
        <v>45526</v>
      </c>
      <c r="C433" s="119">
        <v>24811.5</v>
      </c>
    </row>
    <row r="434" spans="2:3" x14ac:dyDescent="0.35">
      <c r="B434" s="517">
        <v>45525</v>
      </c>
      <c r="C434" s="119">
        <v>24770.2</v>
      </c>
    </row>
    <row r="435" spans="2:3" x14ac:dyDescent="0.35">
      <c r="B435" s="517">
        <v>45524</v>
      </c>
      <c r="C435" s="119">
        <v>24698.85</v>
      </c>
    </row>
    <row r="436" spans="2:3" x14ac:dyDescent="0.35">
      <c r="B436" s="517">
        <v>45523</v>
      </c>
      <c r="C436" s="119">
        <v>24572.65</v>
      </c>
    </row>
    <row r="437" spans="2:3" x14ac:dyDescent="0.35">
      <c r="B437" s="517">
        <v>45520</v>
      </c>
      <c r="C437" s="119">
        <v>24541.15</v>
      </c>
    </row>
    <row r="438" spans="2:3" x14ac:dyDescent="0.35">
      <c r="B438" s="517">
        <v>45518</v>
      </c>
      <c r="C438" s="119">
        <v>24143.75</v>
      </c>
    </row>
    <row r="439" spans="2:3" x14ac:dyDescent="0.35">
      <c r="B439" s="517">
        <v>45517</v>
      </c>
      <c r="C439" s="119">
        <v>24139</v>
      </c>
    </row>
    <row r="440" spans="2:3" x14ac:dyDescent="0.35">
      <c r="B440" s="517">
        <v>45516</v>
      </c>
      <c r="C440" s="119">
        <v>24347</v>
      </c>
    </row>
    <row r="441" spans="2:3" x14ac:dyDescent="0.35">
      <c r="B441" s="517">
        <v>45513</v>
      </c>
      <c r="C441" s="119">
        <v>24367.5</v>
      </c>
    </row>
    <row r="442" spans="2:3" x14ac:dyDescent="0.35">
      <c r="B442" s="517">
        <v>45512</v>
      </c>
      <c r="C442" s="119">
        <v>24117</v>
      </c>
    </row>
    <row r="443" spans="2:3" x14ac:dyDescent="0.35">
      <c r="B443" s="517">
        <v>45511</v>
      </c>
      <c r="C443" s="119">
        <v>24297.5</v>
      </c>
    </row>
    <row r="444" spans="2:3" x14ac:dyDescent="0.35">
      <c r="B444" s="517">
        <v>45510</v>
      </c>
      <c r="C444" s="119">
        <v>23992.55</v>
      </c>
    </row>
    <row r="445" spans="2:3" x14ac:dyDescent="0.35">
      <c r="B445" s="517">
        <v>45509</v>
      </c>
      <c r="C445" s="119">
        <v>24055.599999999999</v>
      </c>
    </row>
    <row r="446" spans="2:3" x14ac:dyDescent="0.35">
      <c r="B446" s="517">
        <v>45506</v>
      </c>
      <c r="C446" s="119">
        <v>24717.7</v>
      </c>
    </row>
    <row r="447" spans="2:3" x14ac:dyDescent="0.35">
      <c r="B447" s="517">
        <v>45505</v>
      </c>
      <c r="C447" s="119">
        <v>25010.9</v>
      </c>
    </row>
    <row r="448" spans="2:3" x14ac:dyDescent="0.35">
      <c r="B448" s="517">
        <v>45504</v>
      </c>
      <c r="C448" s="119">
        <v>24951.15</v>
      </c>
    </row>
    <row r="449" spans="2:3" x14ac:dyDescent="0.35">
      <c r="B449" s="517">
        <v>45503</v>
      </c>
      <c r="C449" s="119">
        <v>24857.3</v>
      </c>
    </row>
    <row r="450" spans="2:3" x14ac:dyDescent="0.35">
      <c r="B450" s="517">
        <v>45502</v>
      </c>
      <c r="C450" s="119">
        <v>24836.1</v>
      </c>
    </row>
    <row r="451" spans="2:3" x14ac:dyDescent="0.35">
      <c r="B451" s="517">
        <v>45499</v>
      </c>
      <c r="C451" s="119">
        <v>24834.85</v>
      </c>
    </row>
    <row r="452" spans="2:3" x14ac:dyDescent="0.35">
      <c r="B452" s="517">
        <v>45498</v>
      </c>
      <c r="C452" s="119">
        <v>24406.1</v>
      </c>
    </row>
    <row r="453" spans="2:3" x14ac:dyDescent="0.35">
      <c r="B453" s="517">
        <v>45497</v>
      </c>
      <c r="C453" s="119">
        <v>24413.5</v>
      </c>
    </row>
    <row r="454" spans="2:3" x14ac:dyDescent="0.35">
      <c r="B454" s="517">
        <v>45496</v>
      </c>
      <c r="C454" s="119">
        <v>24479.05</v>
      </c>
    </row>
    <row r="455" spans="2:3" x14ac:dyDescent="0.35">
      <c r="B455" s="517">
        <v>45495</v>
      </c>
      <c r="C455" s="119">
        <v>24509.25</v>
      </c>
    </row>
    <row r="456" spans="2:3" x14ac:dyDescent="0.35">
      <c r="B456" s="517">
        <v>45492</v>
      </c>
      <c r="C456" s="119">
        <v>24530.9</v>
      </c>
    </row>
    <row r="457" spans="2:3" x14ac:dyDescent="0.35">
      <c r="B457" s="517">
        <v>45491</v>
      </c>
      <c r="C457" s="119">
        <v>24800.85</v>
      </c>
    </row>
    <row r="458" spans="2:3" x14ac:dyDescent="0.35">
      <c r="B458" s="517">
        <v>45489</v>
      </c>
      <c r="C458" s="119">
        <v>24613</v>
      </c>
    </row>
    <row r="459" spans="2:3" x14ac:dyDescent="0.35">
      <c r="B459" s="517">
        <v>45488</v>
      </c>
      <c r="C459" s="119">
        <v>24586.7</v>
      </c>
    </row>
    <row r="460" spans="2:3" x14ac:dyDescent="0.35">
      <c r="B460" s="517">
        <v>45485</v>
      </c>
      <c r="C460" s="119">
        <v>24502.15</v>
      </c>
    </row>
    <row r="461" spans="2:3" x14ac:dyDescent="0.35">
      <c r="B461" s="517">
        <v>45484</v>
      </c>
      <c r="C461" s="119">
        <v>24315.95</v>
      </c>
    </row>
    <row r="462" spans="2:3" x14ac:dyDescent="0.35">
      <c r="B462" s="517">
        <v>45483</v>
      </c>
      <c r="C462" s="119">
        <v>24324.45</v>
      </c>
    </row>
    <row r="463" spans="2:3" x14ac:dyDescent="0.35">
      <c r="B463" s="517">
        <v>45482</v>
      </c>
      <c r="C463" s="119">
        <v>24433.200000000001</v>
      </c>
    </row>
    <row r="464" spans="2:3" x14ac:dyDescent="0.35">
      <c r="B464" s="517">
        <v>45481</v>
      </c>
      <c r="C464" s="119">
        <v>24320.55</v>
      </c>
    </row>
    <row r="465" spans="2:3" x14ac:dyDescent="0.35">
      <c r="B465" s="517">
        <v>45478</v>
      </c>
      <c r="C465" s="119">
        <v>24323.85</v>
      </c>
    </row>
    <row r="466" spans="2:3" x14ac:dyDescent="0.35">
      <c r="B466" s="517">
        <v>45477</v>
      </c>
      <c r="C466" s="119">
        <v>24302.15</v>
      </c>
    </row>
    <row r="467" spans="2:3" x14ac:dyDescent="0.35">
      <c r="B467" s="517">
        <v>45476</v>
      </c>
      <c r="C467" s="119">
        <v>24286.5</v>
      </c>
    </row>
    <row r="468" spans="2:3" x14ac:dyDescent="0.35">
      <c r="B468" s="517">
        <v>45475</v>
      </c>
      <c r="C468" s="119">
        <v>24123.85</v>
      </c>
    </row>
    <row r="469" spans="2:3" x14ac:dyDescent="0.35">
      <c r="B469" s="517">
        <v>45474</v>
      </c>
      <c r="C469" s="119">
        <v>24141.95</v>
      </c>
    </row>
    <row r="470" spans="2:3" x14ac:dyDescent="0.35">
      <c r="B470" s="517">
        <v>45471</v>
      </c>
      <c r="C470" s="119">
        <v>24010.6</v>
      </c>
    </row>
    <row r="471" spans="2:3" x14ac:dyDescent="0.35">
      <c r="B471" s="517">
        <v>45470</v>
      </c>
      <c r="C471" s="119">
        <v>24044.5</v>
      </c>
    </row>
    <row r="472" spans="2:3" x14ac:dyDescent="0.35">
      <c r="B472" s="517">
        <v>45469</v>
      </c>
      <c r="C472" s="119">
        <v>23868.799999999999</v>
      </c>
    </row>
    <row r="473" spans="2:3" x14ac:dyDescent="0.35">
      <c r="B473" s="517">
        <v>45468</v>
      </c>
      <c r="C473" s="119">
        <v>23721.3</v>
      </c>
    </row>
    <row r="474" spans="2:3" x14ac:dyDescent="0.35">
      <c r="B474" s="517">
        <v>45467</v>
      </c>
      <c r="C474" s="119">
        <v>23537.85</v>
      </c>
    </row>
    <row r="475" spans="2:3" x14ac:dyDescent="0.35">
      <c r="B475" s="517">
        <v>45464</v>
      </c>
      <c r="C475" s="119">
        <v>23501.1</v>
      </c>
    </row>
    <row r="476" spans="2:3" x14ac:dyDescent="0.35">
      <c r="B476" s="517">
        <v>45463</v>
      </c>
      <c r="C476" s="119">
        <v>23567</v>
      </c>
    </row>
    <row r="477" spans="2:3" x14ac:dyDescent="0.35">
      <c r="B477" s="517">
        <v>45462</v>
      </c>
      <c r="C477" s="119">
        <v>23516</v>
      </c>
    </row>
    <row r="478" spans="2:3" x14ac:dyDescent="0.35">
      <c r="B478" s="517">
        <v>45461</v>
      </c>
      <c r="C478" s="119">
        <v>23557.9</v>
      </c>
    </row>
    <row r="479" spans="2:3" x14ac:dyDescent="0.35">
      <c r="B479" s="517">
        <v>45457</v>
      </c>
      <c r="C479" s="119">
        <v>23465.599999999999</v>
      </c>
    </row>
    <row r="480" spans="2:3" x14ac:dyDescent="0.35">
      <c r="B480" s="517">
        <v>45456</v>
      </c>
      <c r="C480" s="119">
        <v>23398.9</v>
      </c>
    </row>
    <row r="481" spans="2:3" x14ac:dyDescent="0.35">
      <c r="B481" s="517">
        <v>45455</v>
      </c>
      <c r="C481" s="119">
        <v>23322.95</v>
      </c>
    </row>
    <row r="482" spans="2:3" x14ac:dyDescent="0.35">
      <c r="B482" s="517">
        <v>45454</v>
      </c>
      <c r="C482" s="119">
        <v>23264.85</v>
      </c>
    </row>
    <row r="483" spans="2:3" x14ac:dyDescent="0.35">
      <c r="B483" s="517">
        <v>45453</v>
      </c>
      <c r="C483" s="119">
        <v>23259.200000000001</v>
      </c>
    </row>
    <row r="484" spans="2:3" x14ac:dyDescent="0.35">
      <c r="B484" s="517">
        <v>45450</v>
      </c>
      <c r="C484" s="119">
        <v>23290.15</v>
      </c>
    </row>
    <row r="485" spans="2:3" x14ac:dyDescent="0.35">
      <c r="B485" s="517">
        <v>45449</v>
      </c>
      <c r="C485" s="119">
        <v>22821.4</v>
      </c>
    </row>
    <row r="486" spans="2:3" x14ac:dyDescent="0.35">
      <c r="B486" s="517">
        <v>45448</v>
      </c>
      <c r="C486" s="119">
        <v>22620.35</v>
      </c>
    </row>
    <row r="487" spans="2:3" x14ac:dyDescent="0.35">
      <c r="B487" s="517">
        <v>45447</v>
      </c>
      <c r="C487" s="119">
        <v>21884.5</v>
      </c>
    </row>
    <row r="488" spans="2:3" x14ac:dyDescent="0.35">
      <c r="B488" s="517">
        <v>45446</v>
      </c>
      <c r="C488" s="119">
        <v>23263.9</v>
      </c>
    </row>
    <row r="489" spans="2:3" x14ac:dyDescent="0.35">
      <c r="B489" s="517">
        <v>45443</v>
      </c>
      <c r="C489" s="119">
        <v>22530.7</v>
      </c>
    </row>
    <row r="490" spans="2:3" x14ac:dyDescent="0.35">
      <c r="B490" s="517">
        <v>45442</v>
      </c>
      <c r="C490" s="119">
        <v>22488.65</v>
      </c>
    </row>
    <row r="491" spans="2:3" x14ac:dyDescent="0.35">
      <c r="B491" s="517">
        <v>45441</v>
      </c>
      <c r="C491" s="119">
        <v>22704.7</v>
      </c>
    </row>
    <row r="492" spans="2:3" x14ac:dyDescent="0.35">
      <c r="B492" s="517">
        <v>45440</v>
      </c>
      <c r="C492" s="119">
        <v>22888.15</v>
      </c>
    </row>
    <row r="493" spans="2:3" x14ac:dyDescent="0.35">
      <c r="B493" s="517">
        <v>45439</v>
      </c>
      <c r="C493" s="119">
        <v>22932.45</v>
      </c>
    </row>
    <row r="494" spans="2:3" x14ac:dyDescent="0.35">
      <c r="B494" s="517">
        <v>45436</v>
      </c>
      <c r="C494" s="119">
        <v>22957.1</v>
      </c>
    </row>
    <row r="495" spans="2:3" x14ac:dyDescent="0.35">
      <c r="B495" s="517">
        <v>45435</v>
      </c>
      <c r="C495" s="119">
        <v>22967.65</v>
      </c>
    </row>
    <row r="496" spans="2:3" x14ac:dyDescent="0.35">
      <c r="B496" s="517">
        <v>45434</v>
      </c>
      <c r="C496" s="119">
        <v>22597.8</v>
      </c>
    </row>
    <row r="497" spans="2:3" x14ac:dyDescent="0.35">
      <c r="B497" s="517">
        <v>45433</v>
      </c>
      <c r="C497" s="119">
        <v>22529.05</v>
      </c>
    </row>
    <row r="498" spans="2:3" x14ac:dyDescent="0.35">
      <c r="B498" s="517">
        <v>45430</v>
      </c>
      <c r="C498" s="119">
        <v>22502</v>
      </c>
    </row>
    <row r="499" spans="2:3" x14ac:dyDescent="0.35">
      <c r="B499" s="517">
        <v>45429</v>
      </c>
      <c r="C499" s="119">
        <v>22466.1</v>
      </c>
    </row>
    <row r="500" spans="2:3" x14ac:dyDescent="0.35">
      <c r="B500" s="517">
        <v>45428</v>
      </c>
      <c r="C500" s="119">
        <v>22403.85</v>
      </c>
    </row>
    <row r="501" spans="2:3" x14ac:dyDescent="0.35">
      <c r="B501" s="517">
        <v>45427</v>
      </c>
      <c r="C501" s="119">
        <v>22200.55</v>
      </c>
    </row>
    <row r="502" spans="2:3" x14ac:dyDescent="0.35">
      <c r="B502" s="517">
        <v>45426</v>
      </c>
      <c r="C502" s="119">
        <v>22217.85</v>
      </c>
    </row>
    <row r="503" spans="2:3" x14ac:dyDescent="0.35">
      <c r="B503" s="517">
        <v>45425</v>
      </c>
      <c r="C503" s="119">
        <v>22104.05</v>
      </c>
    </row>
    <row r="504" spans="2:3" x14ac:dyDescent="0.35">
      <c r="B504" s="517">
        <v>45422</v>
      </c>
      <c r="C504" s="119">
        <v>22055.200000000001</v>
      </c>
    </row>
    <row r="505" spans="2:3" x14ac:dyDescent="0.35">
      <c r="B505" s="517">
        <v>45421</v>
      </c>
      <c r="C505" s="119">
        <v>21957.5</v>
      </c>
    </row>
    <row r="506" spans="2:3" x14ac:dyDescent="0.35">
      <c r="B506" s="517">
        <v>45420</v>
      </c>
      <c r="C506" s="119">
        <v>22302.5</v>
      </c>
    </row>
    <row r="507" spans="2:3" x14ac:dyDescent="0.35">
      <c r="B507" s="517">
        <v>45419</v>
      </c>
      <c r="C507" s="119">
        <v>22302.5</v>
      </c>
    </row>
    <row r="508" spans="2:3" x14ac:dyDescent="0.35">
      <c r="B508" s="517">
        <v>45418</v>
      </c>
      <c r="C508" s="119">
        <v>22442.7</v>
      </c>
    </row>
    <row r="509" spans="2:3" x14ac:dyDescent="0.35">
      <c r="B509" s="517">
        <v>45415</v>
      </c>
      <c r="C509" s="119">
        <v>22475.85</v>
      </c>
    </row>
    <row r="510" spans="2:3" x14ac:dyDescent="0.35">
      <c r="B510" s="517">
        <v>45414</v>
      </c>
      <c r="C510" s="119">
        <v>22648.2</v>
      </c>
    </row>
    <row r="511" spans="2:3" x14ac:dyDescent="0.35">
      <c r="B511" s="517">
        <v>45412</v>
      </c>
      <c r="C511" s="119">
        <v>22604.85</v>
      </c>
    </row>
    <row r="512" spans="2:3" x14ac:dyDescent="0.35">
      <c r="B512" s="517">
        <v>45411</v>
      </c>
      <c r="C512" s="119">
        <v>22643.4</v>
      </c>
    </row>
    <row r="513" spans="2:3" x14ac:dyDescent="0.35">
      <c r="B513" s="517">
        <v>45408</v>
      </c>
      <c r="C513" s="119">
        <v>22419.95</v>
      </c>
    </row>
    <row r="514" spans="2:3" x14ac:dyDescent="0.35">
      <c r="B514" s="517">
        <v>45407</v>
      </c>
      <c r="C514" s="119">
        <v>22570.35</v>
      </c>
    </row>
    <row r="515" spans="2:3" x14ac:dyDescent="0.35">
      <c r="B515" s="517">
        <v>45406</v>
      </c>
      <c r="C515" s="119">
        <v>22402.400000000001</v>
      </c>
    </row>
    <row r="516" spans="2:3" x14ac:dyDescent="0.35">
      <c r="B516" s="517">
        <v>45405</v>
      </c>
      <c r="C516" s="119">
        <v>22368</v>
      </c>
    </row>
    <row r="517" spans="2:3" x14ac:dyDescent="0.35">
      <c r="B517" s="517">
        <v>45404</v>
      </c>
      <c r="C517" s="119">
        <v>22336.400000000001</v>
      </c>
    </row>
    <row r="518" spans="2:3" x14ac:dyDescent="0.35">
      <c r="B518" s="517">
        <v>45401</v>
      </c>
      <c r="C518" s="119">
        <v>22147</v>
      </c>
    </row>
    <row r="519" spans="2:3" x14ac:dyDescent="0.35">
      <c r="B519" s="517">
        <v>45400</v>
      </c>
      <c r="C519" s="119">
        <v>21995.85</v>
      </c>
    </row>
    <row r="520" spans="2:3" x14ac:dyDescent="0.35">
      <c r="B520" s="517">
        <v>45398</v>
      </c>
      <c r="C520" s="119">
        <v>22147.9</v>
      </c>
    </row>
    <row r="521" spans="2:3" x14ac:dyDescent="0.35">
      <c r="B521" s="517">
        <v>45397</v>
      </c>
      <c r="C521" s="119">
        <v>22272.5</v>
      </c>
    </row>
    <row r="522" spans="2:3" x14ac:dyDescent="0.35">
      <c r="B522" s="517">
        <v>45394</v>
      </c>
      <c r="C522" s="119">
        <v>22519.4</v>
      </c>
    </row>
    <row r="523" spans="2:3" x14ac:dyDescent="0.35">
      <c r="B523" s="517">
        <v>45392</v>
      </c>
      <c r="C523" s="119">
        <v>22753.8</v>
      </c>
    </row>
    <row r="524" spans="2:3" x14ac:dyDescent="0.35">
      <c r="B524" s="517">
        <v>45391</v>
      </c>
      <c r="C524" s="119">
        <v>22642.75</v>
      </c>
    </row>
    <row r="525" spans="2:3" x14ac:dyDescent="0.35">
      <c r="B525" s="517">
        <v>45390</v>
      </c>
      <c r="C525" s="119">
        <v>22666.3</v>
      </c>
    </row>
    <row r="526" spans="2:3" x14ac:dyDescent="0.35">
      <c r="B526" s="517">
        <v>45387</v>
      </c>
      <c r="C526" s="119">
        <v>22513.7</v>
      </c>
    </row>
    <row r="527" spans="2:3" x14ac:dyDescent="0.35">
      <c r="B527" s="517">
        <v>45386</v>
      </c>
      <c r="C527" s="119">
        <v>22514.65</v>
      </c>
    </row>
    <row r="528" spans="2:3" x14ac:dyDescent="0.35">
      <c r="B528" s="517">
        <v>45385</v>
      </c>
      <c r="C528" s="119">
        <v>22434.65</v>
      </c>
    </row>
    <row r="529" spans="2:3" x14ac:dyDescent="0.35">
      <c r="B529" s="517">
        <v>45384</v>
      </c>
      <c r="C529" s="119">
        <v>22453.3</v>
      </c>
    </row>
    <row r="530" spans="2:3" x14ac:dyDescent="0.35">
      <c r="B530" s="517">
        <v>45383</v>
      </c>
      <c r="C530" s="119">
        <v>22462</v>
      </c>
    </row>
    <row r="531" spans="2:3" x14ac:dyDescent="0.35">
      <c r="B531" s="517">
        <v>45379</v>
      </c>
      <c r="C531" s="119">
        <v>22326.9</v>
      </c>
    </row>
    <row r="532" spans="2:3" x14ac:dyDescent="0.35">
      <c r="B532" s="517">
        <v>45378</v>
      </c>
      <c r="C532" s="119">
        <v>22123.65</v>
      </c>
    </row>
    <row r="533" spans="2:3" x14ac:dyDescent="0.35">
      <c r="B533" s="517">
        <v>45377</v>
      </c>
      <c r="C533" s="119">
        <v>22004.7</v>
      </c>
    </row>
    <row r="534" spans="2:3" x14ac:dyDescent="0.35">
      <c r="B534" s="517">
        <v>45373</v>
      </c>
      <c r="C534" s="119">
        <v>22096.75</v>
      </c>
    </row>
    <row r="535" spans="2:3" x14ac:dyDescent="0.35">
      <c r="B535" s="517">
        <v>45372</v>
      </c>
      <c r="C535" s="119">
        <v>22011.95</v>
      </c>
    </row>
    <row r="536" spans="2:3" x14ac:dyDescent="0.35">
      <c r="B536" s="517">
        <v>45371</v>
      </c>
      <c r="C536" s="119">
        <v>21839.1</v>
      </c>
    </row>
    <row r="537" spans="2:3" x14ac:dyDescent="0.35">
      <c r="B537" s="517">
        <v>45370</v>
      </c>
      <c r="C537" s="119">
        <v>21817.45</v>
      </c>
    </row>
    <row r="538" spans="2:3" x14ac:dyDescent="0.35">
      <c r="B538" s="517">
        <v>45369</v>
      </c>
      <c r="C538" s="119">
        <v>22055.7</v>
      </c>
    </row>
    <row r="539" spans="2:3" x14ac:dyDescent="0.35">
      <c r="B539" s="517">
        <v>45366</v>
      </c>
      <c r="C539" s="119">
        <v>22023.35</v>
      </c>
    </row>
    <row r="540" spans="2:3" x14ac:dyDescent="0.35">
      <c r="B540" s="517">
        <v>45365</v>
      </c>
      <c r="C540" s="119">
        <v>22146.65</v>
      </c>
    </row>
    <row r="541" spans="2:3" x14ac:dyDescent="0.35">
      <c r="B541" s="517">
        <v>45364</v>
      </c>
      <c r="C541" s="119">
        <v>21997.7</v>
      </c>
    </row>
    <row r="542" spans="2:3" x14ac:dyDescent="0.35">
      <c r="B542" s="517">
        <v>45363</v>
      </c>
      <c r="C542" s="119">
        <v>22335.7</v>
      </c>
    </row>
    <row r="543" spans="2:3" x14ac:dyDescent="0.35">
      <c r="B543" s="517">
        <v>45362</v>
      </c>
      <c r="C543" s="119">
        <v>22332.65</v>
      </c>
    </row>
    <row r="544" spans="2:3" x14ac:dyDescent="0.35">
      <c r="B544" s="517">
        <v>45358</v>
      </c>
      <c r="C544" s="119">
        <v>22493.55</v>
      </c>
    </row>
    <row r="545" spans="2:3" x14ac:dyDescent="0.35">
      <c r="B545" s="517">
        <v>45357</v>
      </c>
      <c r="C545" s="119">
        <v>22474.05</v>
      </c>
    </row>
    <row r="546" spans="2:3" x14ac:dyDescent="0.35">
      <c r="B546" s="517">
        <v>45356</v>
      </c>
      <c r="C546" s="119">
        <v>22356.3</v>
      </c>
    </row>
    <row r="547" spans="2:3" x14ac:dyDescent="0.35">
      <c r="B547" s="517">
        <v>45355</v>
      </c>
      <c r="C547" s="119">
        <v>22405.599999999999</v>
      </c>
    </row>
    <row r="548" spans="2:3" x14ac:dyDescent="0.35">
      <c r="B548" s="517">
        <v>45353</v>
      </c>
      <c r="C548" s="119">
        <v>22378.400000000001</v>
      </c>
    </row>
    <row r="549" spans="2:3" x14ac:dyDescent="0.35">
      <c r="B549" s="517">
        <v>45352</v>
      </c>
      <c r="C549" s="119">
        <v>22338.75</v>
      </c>
    </row>
    <row r="550" spans="2:3" x14ac:dyDescent="0.35">
      <c r="B550" s="517">
        <v>45351</v>
      </c>
      <c r="C550" s="119">
        <v>21982.799999999999</v>
      </c>
    </row>
    <row r="551" spans="2:3" x14ac:dyDescent="0.35">
      <c r="B551" s="517">
        <v>45350</v>
      </c>
      <c r="C551" s="119">
        <v>21951.15</v>
      </c>
    </row>
    <row r="552" spans="2:3" x14ac:dyDescent="0.35">
      <c r="B552" s="517">
        <v>45349</v>
      </c>
      <c r="C552" s="119">
        <v>22198.35</v>
      </c>
    </row>
    <row r="553" spans="2:3" x14ac:dyDescent="0.35">
      <c r="B553" s="517">
        <v>45348</v>
      </c>
      <c r="C553" s="119">
        <v>22122.05</v>
      </c>
    </row>
    <row r="554" spans="2:3" x14ac:dyDescent="0.35">
      <c r="B554" s="517">
        <v>45345</v>
      </c>
      <c r="C554" s="119">
        <v>22212.7</v>
      </c>
    </row>
    <row r="555" spans="2:3" x14ac:dyDescent="0.35">
      <c r="B555" s="517">
        <v>45344</v>
      </c>
      <c r="C555" s="119">
        <v>22217.45</v>
      </c>
    </row>
    <row r="556" spans="2:3" x14ac:dyDescent="0.35">
      <c r="B556" s="517">
        <v>45343</v>
      </c>
      <c r="C556" s="119">
        <v>22055.05</v>
      </c>
    </row>
    <row r="557" spans="2:3" x14ac:dyDescent="0.35">
      <c r="B557" s="517">
        <v>45342</v>
      </c>
      <c r="C557" s="119">
        <v>22196.95</v>
      </c>
    </row>
    <row r="558" spans="2:3" x14ac:dyDescent="0.35">
      <c r="B558" s="517">
        <v>45341</v>
      </c>
      <c r="C558" s="119">
        <v>22122.25</v>
      </c>
    </row>
    <row r="559" spans="2:3" x14ac:dyDescent="0.35">
      <c r="B559" s="517">
        <v>45338</v>
      </c>
      <c r="C559" s="119">
        <v>22040.7</v>
      </c>
    </row>
    <row r="560" spans="2:3" x14ac:dyDescent="0.35">
      <c r="B560" s="517">
        <v>45337</v>
      </c>
      <c r="C560" s="119">
        <v>21910.75</v>
      </c>
    </row>
    <row r="561" spans="2:3" x14ac:dyDescent="0.35">
      <c r="B561" s="517">
        <v>45336</v>
      </c>
      <c r="C561" s="119">
        <v>21840.05</v>
      </c>
    </row>
    <row r="562" spans="2:3" x14ac:dyDescent="0.35">
      <c r="B562" s="517">
        <v>45335</v>
      </c>
      <c r="C562" s="119">
        <v>21743.25</v>
      </c>
    </row>
    <row r="563" spans="2:3" x14ac:dyDescent="0.35">
      <c r="B563" s="517">
        <v>45334</v>
      </c>
      <c r="C563" s="119">
        <v>21616.05</v>
      </c>
    </row>
    <row r="564" spans="2:3" x14ac:dyDescent="0.35">
      <c r="B564" s="517">
        <v>45331</v>
      </c>
      <c r="C564" s="119">
        <v>21782.5</v>
      </c>
    </row>
    <row r="565" spans="2:3" x14ac:dyDescent="0.35">
      <c r="B565" s="517">
        <v>45330</v>
      </c>
      <c r="C565" s="119">
        <v>21717.95</v>
      </c>
    </row>
    <row r="566" spans="2:3" x14ac:dyDescent="0.35">
      <c r="B566" s="517">
        <v>45329</v>
      </c>
      <c r="C566" s="119">
        <v>21930.5</v>
      </c>
    </row>
    <row r="567" spans="2:3" x14ac:dyDescent="0.35">
      <c r="B567" s="517">
        <v>45328</v>
      </c>
      <c r="C567" s="119">
        <v>21929.4</v>
      </c>
    </row>
    <row r="568" spans="2:3" x14ac:dyDescent="0.35">
      <c r="B568" s="517">
        <v>45327</v>
      </c>
      <c r="C568" s="119">
        <v>21771.7</v>
      </c>
    </row>
    <row r="569" spans="2:3" x14ac:dyDescent="0.35">
      <c r="B569" s="517">
        <v>45324</v>
      </c>
      <c r="C569" s="119">
        <v>21853.8</v>
      </c>
    </row>
    <row r="570" spans="2:3" x14ac:dyDescent="0.35">
      <c r="B570" s="517">
        <v>45323</v>
      </c>
      <c r="C570" s="119">
        <v>21697.45</v>
      </c>
    </row>
    <row r="571" spans="2:3" x14ac:dyDescent="0.35">
      <c r="B571" s="517">
        <v>45322</v>
      </c>
      <c r="C571" s="119">
        <v>21725.7</v>
      </c>
    </row>
    <row r="572" spans="2:3" x14ac:dyDescent="0.35">
      <c r="B572" s="517">
        <v>45321</v>
      </c>
      <c r="C572" s="119">
        <v>21522.1</v>
      </c>
    </row>
    <row r="573" spans="2:3" x14ac:dyDescent="0.35">
      <c r="B573" s="517">
        <v>45320</v>
      </c>
      <c r="C573" s="119">
        <v>21737.599999999999</v>
      </c>
    </row>
    <row r="574" spans="2:3" x14ac:dyDescent="0.35">
      <c r="B574" s="517">
        <v>45316</v>
      </c>
      <c r="C574" s="119">
        <v>21352.6</v>
      </c>
    </row>
    <row r="575" spans="2:3" x14ac:dyDescent="0.35">
      <c r="B575" s="517">
        <v>45315</v>
      </c>
      <c r="C575" s="119">
        <v>21453.95</v>
      </c>
    </row>
    <row r="576" spans="2:3" x14ac:dyDescent="0.35">
      <c r="B576" s="517">
        <v>45314</v>
      </c>
      <c r="C576" s="119">
        <v>21238.799999999999</v>
      </c>
    </row>
    <row r="577" spans="2:3" x14ac:dyDescent="0.35">
      <c r="B577" s="517">
        <v>45311</v>
      </c>
      <c r="C577" s="119">
        <v>21571.8</v>
      </c>
    </row>
    <row r="578" spans="2:3" x14ac:dyDescent="0.35">
      <c r="B578" s="517">
        <v>45310</v>
      </c>
      <c r="C578" s="119">
        <v>21622.400000000001</v>
      </c>
    </row>
    <row r="579" spans="2:3" x14ac:dyDescent="0.35">
      <c r="B579" s="517">
        <v>45309</v>
      </c>
      <c r="C579" s="119">
        <v>21462.25</v>
      </c>
    </row>
    <row r="580" spans="2:3" x14ac:dyDescent="0.35">
      <c r="B580" s="517">
        <v>45308</v>
      </c>
      <c r="C580" s="119">
        <v>21571.95</v>
      </c>
    </row>
    <row r="581" spans="2:3" x14ac:dyDescent="0.35">
      <c r="B581" s="517">
        <v>45307</v>
      </c>
      <c r="C581" s="119">
        <v>22032.3</v>
      </c>
    </row>
    <row r="582" spans="2:3" x14ac:dyDescent="0.35">
      <c r="B582" s="517">
        <v>45306</v>
      </c>
      <c r="C582" s="119">
        <v>22097.45</v>
      </c>
    </row>
    <row r="583" spans="2:3" x14ac:dyDescent="0.35">
      <c r="B583" s="517">
        <v>45303</v>
      </c>
      <c r="C583" s="119">
        <v>21894.55</v>
      </c>
    </row>
    <row r="584" spans="2:3" x14ac:dyDescent="0.35">
      <c r="B584" s="517">
        <v>45302</v>
      </c>
      <c r="C584" s="119">
        <v>21647.200000000001</v>
      </c>
    </row>
    <row r="585" spans="2:3" x14ac:dyDescent="0.35">
      <c r="B585" s="517">
        <v>45301</v>
      </c>
      <c r="C585" s="119">
        <v>21618.7</v>
      </c>
    </row>
    <row r="586" spans="2:3" x14ac:dyDescent="0.35">
      <c r="B586" s="517">
        <v>45300</v>
      </c>
      <c r="C586" s="119">
        <v>21544.85</v>
      </c>
    </row>
    <row r="587" spans="2:3" x14ac:dyDescent="0.35">
      <c r="B587" s="517">
        <v>45299</v>
      </c>
      <c r="C587" s="119">
        <v>21513</v>
      </c>
    </row>
    <row r="588" spans="2:3" x14ac:dyDescent="0.35">
      <c r="B588" s="517">
        <v>45296</v>
      </c>
      <c r="C588" s="119">
        <v>21710.799999999999</v>
      </c>
    </row>
    <row r="589" spans="2:3" x14ac:dyDescent="0.35">
      <c r="B589" s="517">
        <v>45295</v>
      </c>
      <c r="C589" s="119">
        <v>21658.6</v>
      </c>
    </row>
    <row r="590" spans="2:3" x14ac:dyDescent="0.35">
      <c r="B590" s="517">
        <v>45294</v>
      </c>
      <c r="C590" s="119">
        <v>21517.35</v>
      </c>
    </row>
    <row r="591" spans="2:3" x14ac:dyDescent="0.35">
      <c r="B591" s="517">
        <v>45293</v>
      </c>
      <c r="C591" s="119">
        <v>21665.8</v>
      </c>
    </row>
    <row r="592" spans="2:3" x14ac:dyDescent="0.35">
      <c r="B592" s="517">
        <v>45292</v>
      </c>
      <c r="C592" s="119">
        <v>21741.9</v>
      </c>
    </row>
    <row r="593" spans="2:3" x14ac:dyDescent="0.35">
      <c r="B593" s="517">
        <v>45289</v>
      </c>
      <c r="C593" s="119">
        <v>21731.4</v>
      </c>
    </row>
    <row r="594" spans="2:3" x14ac:dyDescent="0.35">
      <c r="B594" s="517">
        <v>45288</v>
      </c>
      <c r="C594" s="119">
        <v>21778.7</v>
      </c>
    </row>
    <row r="595" spans="2:3" x14ac:dyDescent="0.35">
      <c r="B595" s="517">
        <v>45287</v>
      </c>
      <c r="C595" s="119">
        <v>21654.75</v>
      </c>
    </row>
    <row r="596" spans="2:3" x14ac:dyDescent="0.35">
      <c r="B596" s="517">
        <v>45286</v>
      </c>
      <c r="C596" s="119">
        <v>21441.35</v>
      </c>
    </row>
    <row r="597" spans="2:3" x14ac:dyDescent="0.35">
      <c r="B597" s="517">
        <v>45282</v>
      </c>
      <c r="C597" s="119">
        <v>21349.4</v>
      </c>
    </row>
    <row r="598" spans="2:3" x14ac:dyDescent="0.35">
      <c r="B598" s="517">
        <v>45281</v>
      </c>
      <c r="C598" s="119">
        <v>21255.05</v>
      </c>
    </row>
    <row r="599" spans="2:3" x14ac:dyDescent="0.35">
      <c r="B599" s="517">
        <v>45280</v>
      </c>
      <c r="C599" s="119">
        <v>21150.15</v>
      </c>
    </row>
    <row r="600" spans="2:3" x14ac:dyDescent="0.35">
      <c r="B600" s="517">
        <v>45279</v>
      </c>
      <c r="C600" s="119">
        <v>21453.1</v>
      </c>
    </row>
    <row r="601" spans="2:3" x14ac:dyDescent="0.35">
      <c r="B601" s="517">
        <v>45278</v>
      </c>
      <c r="C601" s="119">
        <v>21418.65</v>
      </c>
    </row>
    <row r="602" spans="2:3" x14ac:dyDescent="0.35">
      <c r="B602" s="517">
        <v>45275</v>
      </c>
      <c r="C602" s="119">
        <v>21456.65</v>
      </c>
    </row>
    <row r="603" spans="2:3" x14ac:dyDescent="0.35">
      <c r="B603" s="517">
        <v>45274</v>
      </c>
      <c r="C603" s="119">
        <v>21182.7</v>
      </c>
    </row>
    <row r="604" spans="2:3" x14ac:dyDescent="0.35">
      <c r="B604" s="517">
        <v>45273</v>
      </c>
      <c r="C604" s="119">
        <v>20926.349999999999</v>
      </c>
    </row>
    <row r="605" spans="2:3" x14ac:dyDescent="0.35">
      <c r="B605" s="517">
        <v>45272</v>
      </c>
      <c r="C605" s="119">
        <v>20906.400000000001</v>
      </c>
    </row>
    <row r="606" spans="2:3" x14ac:dyDescent="0.35">
      <c r="B606" s="517">
        <v>45271</v>
      </c>
      <c r="C606" s="119">
        <v>20997.1</v>
      </c>
    </row>
    <row r="607" spans="2:3" x14ac:dyDescent="0.35">
      <c r="B607" s="517">
        <v>45268</v>
      </c>
      <c r="C607" s="119">
        <v>20969.400000000001</v>
      </c>
    </row>
    <row r="608" spans="2:3" x14ac:dyDescent="0.35">
      <c r="B608" s="517">
        <v>45267</v>
      </c>
      <c r="C608" s="119">
        <v>20901.150000000001</v>
      </c>
    </row>
    <row r="609" spans="2:3" x14ac:dyDescent="0.35">
      <c r="B609" s="517">
        <v>45266</v>
      </c>
      <c r="C609" s="119">
        <v>20937.7</v>
      </c>
    </row>
    <row r="610" spans="2:3" x14ac:dyDescent="0.35">
      <c r="B610" s="517">
        <v>45265</v>
      </c>
      <c r="C610" s="119">
        <v>20855.099999999999</v>
      </c>
    </row>
    <row r="611" spans="2:3" x14ac:dyDescent="0.35">
      <c r="B611" s="517">
        <v>45264</v>
      </c>
      <c r="C611" s="119">
        <v>20686.8</v>
      </c>
    </row>
    <row r="612" spans="2:3" x14ac:dyDescent="0.35">
      <c r="B612" s="517">
        <v>45261</v>
      </c>
      <c r="C612" s="119">
        <v>20267.900000000001</v>
      </c>
    </row>
    <row r="613" spans="2:3" x14ac:dyDescent="0.35">
      <c r="B613" s="517">
        <v>45260</v>
      </c>
      <c r="C613" s="119">
        <v>20133.150000000001</v>
      </c>
    </row>
    <row r="614" spans="2:3" x14ac:dyDescent="0.35">
      <c r="B614" s="517">
        <v>45259</v>
      </c>
      <c r="C614" s="119">
        <v>20096.599999999999</v>
      </c>
    </row>
    <row r="615" spans="2:3" x14ac:dyDescent="0.35">
      <c r="B615" s="517">
        <v>45258</v>
      </c>
      <c r="C615" s="119">
        <v>19889.7</v>
      </c>
    </row>
    <row r="616" spans="2:3" x14ac:dyDescent="0.35">
      <c r="B616" s="517">
        <v>45254</v>
      </c>
      <c r="C616" s="119">
        <v>19794.7</v>
      </c>
    </row>
    <row r="617" spans="2:3" x14ac:dyDescent="0.35">
      <c r="B617" s="517">
        <v>45253</v>
      </c>
      <c r="C617" s="119">
        <v>19802</v>
      </c>
    </row>
    <row r="618" spans="2:3" x14ac:dyDescent="0.35">
      <c r="B618" s="517">
        <v>45252</v>
      </c>
      <c r="C618" s="119">
        <v>19811.849999999999</v>
      </c>
    </row>
    <row r="619" spans="2:3" x14ac:dyDescent="0.35">
      <c r="B619" s="517">
        <v>45251</v>
      </c>
      <c r="C619" s="119">
        <v>19783.400000000001</v>
      </c>
    </row>
    <row r="620" spans="2:3" x14ac:dyDescent="0.35">
      <c r="B620" s="517">
        <v>45250</v>
      </c>
      <c r="C620" s="119">
        <v>19694</v>
      </c>
    </row>
    <row r="621" spans="2:3" x14ac:dyDescent="0.35">
      <c r="B621" s="517">
        <v>45247</v>
      </c>
      <c r="C621" s="119">
        <v>19731.8</v>
      </c>
    </row>
    <row r="622" spans="2:3" x14ac:dyDescent="0.35">
      <c r="B622" s="517">
        <v>45246</v>
      </c>
      <c r="C622" s="119">
        <v>19765.2</v>
      </c>
    </row>
    <row r="623" spans="2:3" x14ac:dyDescent="0.35">
      <c r="B623" s="517">
        <v>45245</v>
      </c>
      <c r="C623" s="119">
        <v>19675.45</v>
      </c>
    </row>
    <row r="624" spans="2:3" x14ac:dyDescent="0.35">
      <c r="B624" s="517">
        <v>45243</v>
      </c>
      <c r="C624" s="119">
        <v>19443.55</v>
      </c>
    </row>
    <row r="625" spans="2:3" x14ac:dyDescent="0.35">
      <c r="B625" s="517">
        <v>45242</v>
      </c>
      <c r="C625" s="119">
        <v>19525.55</v>
      </c>
    </row>
    <row r="626" spans="2:3" x14ac:dyDescent="0.35">
      <c r="B626" s="517">
        <v>45240</v>
      </c>
      <c r="C626" s="119">
        <v>19425.349999999999</v>
      </c>
    </row>
    <row r="627" spans="2:3" x14ac:dyDescent="0.35">
      <c r="B627" s="517">
        <v>45239</v>
      </c>
      <c r="C627" s="119">
        <v>19395.3</v>
      </c>
    </row>
    <row r="628" spans="2:3" x14ac:dyDescent="0.35">
      <c r="B628" s="517">
        <v>45238</v>
      </c>
      <c r="C628" s="119">
        <v>19443.5</v>
      </c>
    </row>
    <row r="629" spans="2:3" x14ac:dyDescent="0.35">
      <c r="B629" s="517">
        <v>45237</v>
      </c>
      <c r="C629" s="119">
        <v>19406.7</v>
      </c>
    </row>
    <row r="630" spans="2:3" x14ac:dyDescent="0.35">
      <c r="B630" s="517">
        <v>45236</v>
      </c>
      <c r="C630" s="119">
        <v>19411.75</v>
      </c>
    </row>
    <row r="631" spans="2:3" x14ac:dyDescent="0.35">
      <c r="B631" s="517">
        <v>45233</v>
      </c>
      <c r="C631" s="119">
        <v>19230.599999999999</v>
      </c>
    </row>
    <row r="632" spans="2:3" x14ac:dyDescent="0.35">
      <c r="B632" s="517">
        <v>45232</v>
      </c>
      <c r="C632" s="119">
        <v>19133.25</v>
      </c>
    </row>
    <row r="633" spans="2:3" x14ac:dyDescent="0.35">
      <c r="B633" s="517">
        <v>45231</v>
      </c>
      <c r="C633" s="119">
        <v>18989.150000000001</v>
      </c>
    </row>
    <row r="634" spans="2:3" x14ac:dyDescent="0.35">
      <c r="B634" s="517">
        <v>45230</v>
      </c>
      <c r="C634" s="119">
        <v>19079.599999999999</v>
      </c>
    </row>
    <row r="635" spans="2:3" x14ac:dyDescent="0.35">
      <c r="B635" s="517">
        <v>45229</v>
      </c>
      <c r="C635" s="119">
        <v>19140.900000000001</v>
      </c>
    </row>
    <row r="636" spans="2:3" x14ac:dyDescent="0.35">
      <c r="B636" s="517">
        <v>45226</v>
      </c>
      <c r="C636" s="119">
        <v>19047.25</v>
      </c>
    </row>
    <row r="637" spans="2:3" x14ac:dyDescent="0.35">
      <c r="B637" s="517">
        <v>45225</v>
      </c>
      <c r="C637" s="119">
        <v>18857.25</v>
      </c>
    </row>
    <row r="638" spans="2:3" x14ac:dyDescent="0.35">
      <c r="B638" s="517">
        <v>45224</v>
      </c>
      <c r="C638" s="119">
        <v>19122.150000000001</v>
      </c>
    </row>
    <row r="639" spans="2:3" x14ac:dyDescent="0.35">
      <c r="B639" s="517">
        <v>45222</v>
      </c>
      <c r="C639" s="119">
        <v>19281.75</v>
      </c>
    </row>
    <row r="640" spans="2:3" x14ac:dyDescent="0.35">
      <c r="B640" s="517">
        <v>45219</v>
      </c>
      <c r="C640" s="119">
        <v>19542.650000000001</v>
      </c>
    </row>
    <row r="641" spans="2:3" x14ac:dyDescent="0.35">
      <c r="B641" s="517">
        <v>45218</v>
      </c>
      <c r="C641" s="119">
        <v>19624.7</v>
      </c>
    </row>
    <row r="642" spans="2:3" x14ac:dyDescent="0.35">
      <c r="B642" s="517">
        <v>45217</v>
      </c>
      <c r="C642" s="119">
        <v>19671.099999999999</v>
      </c>
    </row>
    <row r="643" spans="2:3" x14ac:dyDescent="0.35">
      <c r="B643" s="517">
        <v>45216</v>
      </c>
      <c r="C643" s="119">
        <v>19811.5</v>
      </c>
    </row>
    <row r="644" spans="2:3" x14ac:dyDescent="0.35">
      <c r="B644" s="517">
        <v>45215</v>
      </c>
      <c r="C644" s="119">
        <v>19731.75</v>
      </c>
    </row>
    <row r="645" spans="2:3" x14ac:dyDescent="0.35">
      <c r="B645" s="517">
        <v>45212</v>
      </c>
      <c r="C645" s="119">
        <v>19751.05</v>
      </c>
    </row>
    <row r="646" spans="2:3" x14ac:dyDescent="0.35">
      <c r="B646" s="517">
        <v>45211</v>
      </c>
      <c r="C646" s="119">
        <v>19794</v>
      </c>
    </row>
    <row r="647" spans="2:3" x14ac:dyDescent="0.35">
      <c r="B647" s="517">
        <v>45210</v>
      </c>
      <c r="C647" s="119">
        <v>19811.349999999999</v>
      </c>
    </row>
    <row r="648" spans="2:3" x14ac:dyDescent="0.35">
      <c r="B648" s="517">
        <v>45209</v>
      </c>
      <c r="C648" s="119">
        <v>19689.849999999999</v>
      </c>
    </row>
    <row r="649" spans="2:3" x14ac:dyDescent="0.35">
      <c r="B649" s="517">
        <v>45208</v>
      </c>
      <c r="C649" s="119">
        <v>19512.349999999999</v>
      </c>
    </row>
    <row r="650" spans="2:3" x14ac:dyDescent="0.35">
      <c r="B650" s="517">
        <v>45205</v>
      </c>
      <c r="C650" s="119">
        <v>19653.5</v>
      </c>
    </row>
    <row r="651" spans="2:3" x14ac:dyDescent="0.35">
      <c r="B651" s="517">
        <v>45204</v>
      </c>
      <c r="C651" s="119">
        <v>19545.75</v>
      </c>
    </row>
    <row r="652" spans="2:3" x14ac:dyDescent="0.35">
      <c r="B652" s="517">
        <v>45203</v>
      </c>
      <c r="C652" s="119">
        <v>19436.099999999999</v>
      </c>
    </row>
    <row r="653" spans="2:3" x14ac:dyDescent="0.35">
      <c r="B653" s="517">
        <v>45202</v>
      </c>
      <c r="C653" s="119">
        <v>19528.75</v>
      </c>
    </row>
    <row r="654" spans="2:3" x14ac:dyDescent="0.35">
      <c r="B654" s="517">
        <v>45198</v>
      </c>
      <c r="C654" s="119">
        <v>19638.3</v>
      </c>
    </row>
    <row r="655" spans="2:3" x14ac:dyDescent="0.35">
      <c r="B655" s="517">
        <v>45197</v>
      </c>
      <c r="C655" s="119">
        <v>19523.55</v>
      </c>
    </row>
    <row r="656" spans="2:3" x14ac:dyDescent="0.35">
      <c r="B656" s="517">
        <v>45196</v>
      </c>
      <c r="C656" s="119">
        <v>19716.45</v>
      </c>
    </row>
    <row r="657" spans="2:3" x14ac:dyDescent="0.35">
      <c r="B657" s="517">
        <v>45195</v>
      </c>
      <c r="C657" s="119">
        <v>19664.7</v>
      </c>
    </row>
    <row r="658" spans="2:3" x14ac:dyDescent="0.35">
      <c r="B658" s="517">
        <v>45194</v>
      </c>
      <c r="C658" s="119">
        <v>19674.55</v>
      </c>
    </row>
    <row r="659" spans="2:3" x14ac:dyDescent="0.35">
      <c r="B659" s="517">
        <v>45191</v>
      </c>
      <c r="C659" s="119">
        <v>19674.25</v>
      </c>
    </row>
    <row r="660" spans="2:3" x14ac:dyDescent="0.35">
      <c r="B660" s="517">
        <v>45190</v>
      </c>
      <c r="C660" s="119">
        <v>19742.349999999999</v>
      </c>
    </row>
    <row r="661" spans="2:3" x14ac:dyDescent="0.35">
      <c r="B661" s="517">
        <v>45189</v>
      </c>
      <c r="C661" s="119">
        <v>19901.400000000001</v>
      </c>
    </row>
    <row r="662" spans="2:3" x14ac:dyDescent="0.35">
      <c r="B662" s="517">
        <v>45187</v>
      </c>
      <c r="C662" s="119">
        <v>20133.3</v>
      </c>
    </row>
    <row r="663" spans="2:3" x14ac:dyDescent="0.35">
      <c r="B663" s="517">
        <v>45184</v>
      </c>
      <c r="C663" s="119">
        <v>20192.349999999999</v>
      </c>
    </row>
    <row r="664" spans="2:3" x14ac:dyDescent="0.35">
      <c r="B664" s="517">
        <v>45183</v>
      </c>
      <c r="C664" s="119">
        <v>20103.099999999999</v>
      </c>
    </row>
    <row r="665" spans="2:3" x14ac:dyDescent="0.35">
      <c r="B665" s="517">
        <v>45182</v>
      </c>
      <c r="C665" s="119">
        <v>20070</v>
      </c>
    </row>
    <row r="666" spans="2:3" x14ac:dyDescent="0.35">
      <c r="B666" s="517">
        <v>45181</v>
      </c>
      <c r="C666" s="119">
        <v>19993.2</v>
      </c>
    </row>
    <row r="667" spans="2:3" x14ac:dyDescent="0.35">
      <c r="B667" s="517">
        <v>45180</v>
      </c>
      <c r="C667" s="119">
        <v>19996.349999999999</v>
      </c>
    </row>
    <row r="668" spans="2:3" x14ac:dyDescent="0.35">
      <c r="B668" s="517">
        <v>45177</v>
      </c>
      <c r="C668" s="119">
        <v>19819.95</v>
      </c>
    </row>
    <row r="669" spans="2:3" x14ac:dyDescent="0.35">
      <c r="B669" s="517">
        <v>45176</v>
      </c>
      <c r="C669" s="119">
        <v>19727.05</v>
      </c>
    </row>
    <row r="670" spans="2:3" x14ac:dyDescent="0.35">
      <c r="B670" s="517">
        <v>45175</v>
      </c>
      <c r="C670" s="119">
        <v>19611.05</v>
      </c>
    </row>
    <row r="671" spans="2:3" x14ac:dyDescent="0.35">
      <c r="B671" s="517">
        <v>45174</v>
      </c>
      <c r="C671" s="119">
        <v>19574.900000000001</v>
      </c>
    </row>
    <row r="672" spans="2:3" x14ac:dyDescent="0.35">
      <c r="B672" s="517">
        <v>45173</v>
      </c>
      <c r="C672" s="119">
        <v>19528.8</v>
      </c>
    </row>
    <row r="673" spans="2:3" x14ac:dyDescent="0.35">
      <c r="B673" s="517">
        <v>45170</v>
      </c>
      <c r="C673" s="119">
        <v>19435.3</v>
      </c>
    </row>
    <row r="674" spans="2:3" x14ac:dyDescent="0.35">
      <c r="B674" s="517">
        <v>45169</v>
      </c>
      <c r="C674" s="119">
        <v>19253.8</v>
      </c>
    </row>
    <row r="675" spans="2:3" x14ac:dyDescent="0.35">
      <c r="B675" s="517">
        <v>45168</v>
      </c>
      <c r="C675" s="119">
        <v>19347.45</v>
      </c>
    </row>
    <row r="676" spans="2:3" x14ac:dyDescent="0.35">
      <c r="B676" s="517">
        <v>45167</v>
      </c>
      <c r="C676" s="119">
        <v>19342.650000000001</v>
      </c>
    </row>
    <row r="677" spans="2:3" x14ac:dyDescent="0.35">
      <c r="B677" s="517">
        <v>45166</v>
      </c>
      <c r="C677" s="119">
        <v>19306.05</v>
      </c>
    </row>
    <row r="678" spans="2:3" x14ac:dyDescent="0.35">
      <c r="B678" s="517">
        <v>45163</v>
      </c>
      <c r="C678" s="119">
        <v>19265.8</v>
      </c>
    </row>
    <row r="679" spans="2:3" x14ac:dyDescent="0.35">
      <c r="B679" s="517">
        <v>45162</v>
      </c>
      <c r="C679" s="119">
        <v>19386.7</v>
      </c>
    </row>
    <row r="680" spans="2:3" x14ac:dyDescent="0.35">
      <c r="B680" s="517">
        <v>45161</v>
      </c>
      <c r="C680" s="119">
        <v>19444</v>
      </c>
    </row>
    <row r="681" spans="2:3" x14ac:dyDescent="0.35">
      <c r="B681" s="517">
        <v>45160</v>
      </c>
      <c r="C681" s="119">
        <v>19396.45</v>
      </c>
    </row>
    <row r="682" spans="2:3" x14ac:dyDescent="0.35">
      <c r="B682" s="517">
        <v>45159</v>
      </c>
      <c r="C682" s="119">
        <v>19393.599999999999</v>
      </c>
    </row>
    <row r="683" spans="2:3" x14ac:dyDescent="0.35">
      <c r="B683" s="517">
        <v>45156</v>
      </c>
      <c r="C683" s="119">
        <v>19310.150000000001</v>
      </c>
    </row>
    <row r="684" spans="2:3" x14ac:dyDescent="0.35">
      <c r="B684" s="517">
        <v>45155</v>
      </c>
      <c r="C684" s="119">
        <v>19365.25</v>
      </c>
    </row>
    <row r="685" spans="2:3" x14ac:dyDescent="0.35">
      <c r="B685" s="517">
        <v>45154</v>
      </c>
      <c r="C685" s="119">
        <v>19465</v>
      </c>
    </row>
    <row r="686" spans="2:3" x14ac:dyDescent="0.35">
      <c r="B686" s="517">
        <v>45152</v>
      </c>
      <c r="C686" s="119">
        <v>19434.55</v>
      </c>
    </row>
    <row r="687" spans="2:3" x14ac:dyDescent="0.35">
      <c r="B687" s="517">
        <v>45149</v>
      </c>
      <c r="C687" s="119">
        <v>19428.3</v>
      </c>
    </row>
    <row r="688" spans="2:3" x14ac:dyDescent="0.35">
      <c r="B688" s="517">
        <v>45148</v>
      </c>
      <c r="C688" s="119">
        <v>19543.099999999999</v>
      </c>
    </row>
    <row r="689" spans="2:3" x14ac:dyDescent="0.35">
      <c r="B689" s="517">
        <v>45147</v>
      </c>
      <c r="C689" s="119">
        <v>19632.55</v>
      </c>
    </row>
    <row r="690" spans="2:3" x14ac:dyDescent="0.35">
      <c r="B690" s="517">
        <v>45146</v>
      </c>
      <c r="C690" s="119">
        <v>19570.849999999999</v>
      </c>
    </row>
    <row r="691" spans="2:3" x14ac:dyDescent="0.35">
      <c r="B691" s="517">
        <v>45145</v>
      </c>
      <c r="C691" s="119">
        <v>19597.3</v>
      </c>
    </row>
    <row r="692" spans="2:3" x14ac:dyDescent="0.35">
      <c r="B692" s="517">
        <v>45142</v>
      </c>
      <c r="C692" s="119">
        <v>19517</v>
      </c>
    </row>
    <row r="693" spans="2:3" x14ac:dyDescent="0.35">
      <c r="B693" s="517">
        <v>45141</v>
      </c>
      <c r="C693" s="119">
        <v>19381.650000000001</v>
      </c>
    </row>
    <row r="694" spans="2:3" x14ac:dyDescent="0.35">
      <c r="B694" s="517">
        <v>45140</v>
      </c>
      <c r="C694" s="119">
        <v>19526.55</v>
      </c>
    </row>
    <row r="695" spans="2:3" x14ac:dyDescent="0.35">
      <c r="B695" s="517">
        <v>45139</v>
      </c>
      <c r="C695" s="119">
        <v>19733.55</v>
      </c>
    </row>
    <row r="696" spans="2:3" x14ac:dyDescent="0.35">
      <c r="B696" s="517">
        <v>45138</v>
      </c>
      <c r="C696" s="119">
        <v>19753.8</v>
      </c>
    </row>
    <row r="697" spans="2:3" x14ac:dyDescent="0.35">
      <c r="B697" s="517">
        <v>45135</v>
      </c>
      <c r="C697" s="119">
        <v>19646.05</v>
      </c>
    </row>
    <row r="698" spans="2:3" x14ac:dyDescent="0.35">
      <c r="B698" s="517">
        <v>45134</v>
      </c>
      <c r="C698" s="119">
        <v>19659.900000000001</v>
      </c>
    </row>
    <row r="699" spans="2:3" x14ac:dyDescent="0.35">
      <c r="B699" s="517">
        <v>45133</v>
      </c>
      <c r="C699" s="119">
        <v>19778.3</v>
      </c>
    </row>
    <row r="700" spans="2:3" x14ac:dyDescent="0.35">
      <c r="B700" s="517">
        <v>45132</v>
      </c>
      <c r="C700" s="119">
        <v>19680.599999999999</v>
      </c>
    </row>
    <row r="701" spans="2:3" x14ac:dyDescent="0.35">
      <c r="B701" s="517">
        <v>45131</v>
      </c>
      <c r="C701" s="119">
        <v>19672.349999999999</v>
      </c>
    </row>
    <row r="702" spans="2:3" x14ac:dyDescent="0.35">
      <c r="B702" s="517">
        <v>45128</v>
      </c>
      <c r="C702" s="119">
        <v>19745</v>
      </c>
    </row>
    <row r="703" spans="2:3" x14ac:dyDescent="0.35">
      <c r="B703" s="517">
        <v>45127</v>
      </c>
      <c r="C703" s="119">
        <v>19979.150000000001</v>
      </c>
    </row>
    <row r="704" spans="2:3" x14ac:dyDescent="0.35">
      <c r="B704" s="517">
        <v>45126</v>
      </c>
      <c r="C704" s="119">
        <v>19833.150000000001</v>
      </c>
    </row>
    <row r="705" spans="2:3" x14ac:dyDescent="0.35">
      <c r="B705" s="517">
        <v>45125</v>
      </c>
      <c r="C705" s="119">
        <v>19749.25</v>
      </c>
    </row>
    <row r="706" spans="2:3" x14ac:dyDescent="0.35">
      <c r="B706" s="517">
        <v>45124</v>
      </c>
      <c r="C706" s="119">
        <v>19711.45</v>
      </c>
    </row>
    <row r="707" spans="2:3" x14ac:dyDescent="0.35">
      <c r="B707" s="517">
        <v>45121</v>
      </c>
      <c r="C707" s="119">
        <v>19564.5</v>
      </c>
    </row>
    <row r="708" spans="2:3" x14ac:dyDescent="0.35">
      <c r="B708" s="517">
        <v>45120</v>
      </c>
      <c r="C708" s="119">
        <v>19413.75</v>
      </c>
    </row>
    <row r="709" spans="2:3" x14ac:dyDescent="0.35">
      <c r="B709" s="517">
        <v>45119</v>
      </c>
      <c r="C709" s="119">
        <v>19384.3</v>
      </c>
    </row>
    <row r="710" spans="2:3" x14ac:dyDescent="0.35">
      <c r="B710" s="517">
        <v>45118</v>
      </c>
      <c r="C710" s="119">
        <v>19439.400000000001</v>
      </c>
    </row>
    <row r="711" spans="2:3" x14ac:dyDescent="0.35">
      <c r="B711" s="517">
        <v>45117</v>
      </c>
      <c r="C711" s="119">
        <v>19355.900000000001</v>
      </c>
    </row>
    <row r="712" spans="2:3" x14ac:dyDescent="0.35">
      <c r="B712" s="517">
        <v>45114</v>
      </c>
      <c r="C712" s="119">
        <v>19331.8</v>
      </c>
    </row>
    <row r="713" spans="2:3" x14ac:dyDescent="0.35">
      <c r="B713" s="517">
        <v>45113</v>
      </c>
      <c r="C713" s="119">
        <v>19497.3</v>
      </c>
    </row>
    <row r="714" spans="2:3" x14ac:dyDescent="0.35">
      <c r="B714" s="517">
        <v>45112</v>
      </c>
      <c r="C714" s="119">
        <v>19398.5</v>
      </c>
    </row>
    <row r="715" spans="2:3" x14ac:dyDescent="0.35">
      <c r="B715" s="517">
        <v>45111</v>
      </c>
      <c r="C715" s="119">
        <v>19389</v>
      </c>
    </row>
    <row r="716" spans="2:3" x14ac:dyDescent="0.35">
      <c r="B716" s="517">
        <v>45110</v>
      </c>
      <c r="C716" s="119">
        <v>19322.55</v>
      </c>
    </row>
    <row r="717" spans="2:3" x14ac:dyDescent="0.35">
      <c r="B717" s="517">
        <v>45107</v>
      </c>
      <c r="C717" s="119">
        <v>19189.05</v>
      </c>
    </row>
    <row r="718" spans="2:3" x14ac:dyDescent="0.35">
      <c r="B718" s="517">
        <v>45105</v>
      </c>
      <c r="C718" s="119">
        <v>18972.099999999999</v>
      </c>
    </row>
    <row r="719" spans="2:3" x14ac:dyDescent="0.35">
      <c r="B719" s="517">
        <v>45104</v>
      </c>
      <c r="C719" s="119">
        <v>18817.400000000001</v>
      </c>
    </row>
    <row r="720" spans="2:3" x14ac:dyDescent="0.35">
      <c r="B720" s="517">
        <v>45103</v>
      </c>
      <c r="C720" s="119">
        <v>18691.2</v>
      </c>
    </row>
    <row r="721" spans="2:3" x14ac:dyDescent="0.35">
      <c r="B721" s="517">
        <v>45100</v>
      </c>
      <c r="C721" s="119">
        <v>18665.5</v>
      </c>
    </row>
    <row r="722" spans="2:3" x14ac:dyDescent="0.35">
      <c r="B722" s="517">
        <v>45099</v>
      </c>
      <c r="C722" s="119">
        <v>18771.25</v>
      </c>
    </row>
    <row r="723" spans="2:3" x14ac:dyDescent="0.35">
      <c r="B723" s="517">
        <v>45098</v>
      </c>
      <c r="C723" s="119">
        <v>18856.849999999999</v>
      </c>
    </row>
    <row r="724" spans="2:3" x14ac:dyDescent="0.35">
      <c r="B724" s="517">
        <v>45097</v>
      </c>
      <c r="C724" s="119">
        <v>18816.7</v>
      </c>
    </row>
    <row r="725" spans="2:3" x14ac:dyDescent="0.35">
      <c r="B725" s="517">
        <v>45096</v>
      </c>
      <c r="C725" s="119">
        <v>18755.45</v>
      </c>
    </row>
    <row r="726" spans="2:3" x14ac:dyDescent="0.35">
      <c r="B726" s="517">
        <v>45093</v>
      </c>
      <c r="C726" s="119">
        <v>18826</v>
      </c>
    </row>
    <row r="727" spans="2:3" x14ac:dyDescent="0.35">
      <c r="B727" s="517">
        <v>45092</v>
      </c>
      <c r="C727" s="119">
        <v>18688.099999999999</v>
      </c>
    </row>
    <row r="728" spans="2:3" x14ac:dyDescent="0.35">
      <c r="B728" s="517">
        <v>45091</v>
      </c>
      <c r="C728" s="119">
        <v>18755.900000000001</v>
      </c>
    </row>
    <row r="729" spans="2:3" x14ac:dyDescent="0.35">
      <c r="B729" s="517">
        <v>45090</v>
      </c>
      <c r="C729" s="119">
        <v>18716.150000000001</v>
      </c>
    </row>
    <row r="730" spans="2:3" x14ac:dyDescent="0.35">
      <c r="B730" s="517">
        <v>45089</v>
      </c>
      <c r="C730" s="119">
        <v>18601.5</v>
      </c>
    </row>
    <row r="731" spans="2:3" x14ac:dyDescent="0.35">
      <c r="B731" s="517">
        <v>45086</v>
      </c>
      <c r="C731" s="119">
        <v>18563.400000000001</v>
      </c>
    </row>
    <row r="732" spans="2:3" x14ac:dyDescent="0.35">
      <c r="B732" s="517">
        <v>45085</v>
      </c>
      <c r="C732" s="119">
        <v>18634.55</v>
      </c>
    </row>
    <row r="733" spans="2:3" x14ac:dyDescent="0.35">
      <c r="B733" s="517">
        <v>45084</v>
      </c>
      <c r="C733" s="119">
        <v>18726.400000000001</v>
      </c>
    </row>
    <row r="734" spans="2:3" x14ac:dyDescent="0.35">
      <c r="B734" s="517">
        <v>45083</v>
      </c>
      <c r="C734" s="119">
        <v>18599</v>
      </c>
    </row>
    <row r="735" spans="2:3" x14ac:dyDescent="0.35">
      <c r="B735" s="517">
        <v>45082</v>
      </c>
      <c r="C735" s="119">
        <v>18593.849999999999</v>
      </c>
    </row>
    <row r="736" spans="2:3" x14ac:dyDescent="0.35">
      <c r="B736" s="517">
        <v>45079</v>
      </c>
      <c r="C736" s="119">
        <v>18534.099999999999</v>
      </c>
    </row>
    <row r="737" spans="2:3" x14ac:dyDescent="0.35">
      <c r="B737" s="517">
        <v>45078</v>
      </c>
      <c r="C737" s="119">
        <v>18487.75</v>
      </c>
    </row>
    <row r="738" spans="2:3" x14ac:dyDescent="0.35">
      <c r="B738" s="517">
        <v>45077</v>
      </c>
      <c r="C738" s="119">
        <v>18534.400000000001</v>
      </c>
    </row>
    <row r="739" spans="2:3" x14ac:dyDescent="0.35">
      <c r="B739" s="517">
        <v>45076</v>
      </c>
      <c r="C739" s="119">
        <v>18633.849999999999</v>
      </c>
    </row>
    <row r="740" spans="2:3" x14ac:dyDescent="0.35">
      <c r="B740" s="517">
        <v>45075</v>
      </c>
      <c r="C740" s="119">
        <v>18598.650000000001</v>
      </c>
    </row>
    <row r="741" spans="2:3" x14ac:dyDescent="0.35">
      <c r="B741" s="517">
        <v>45072</v>
      </c>
      <c r="C741" s="119">
        <v>18499.349999999999</v>
      </c>
    </row>
    <row r="742" spans="2:3" x14ac:dyDescent="0.35">
      <c r="B742" s="517">
        <v>45071</v>
      </c>
      <c r="C742" s="119">
        <v>18321.150000000001</v>
      </c>
    </row>
    <row r="743" spans="2:3" x14ac:dyDescent="0.35">
      <c r="B743" s="517">
        <v>45070</v>
      </c>
      <c r="C743" s="119">
        <v>18285.400000000001</v>
      </c>
    </row>
    <row r="744" spans="2:3" x14ac:dyDescent="0.35">
      <c r="B744" s="517">
        <v>45069</v>
      </c>
      <c r="C744" s="119">
        <v>18348</v>
      </c>
    </row>
    <row r="745" spans="2:3" x14ac:dyDescent="0.35">
      <c r="B745" s="517">
        <v>45068</v>
      </c>
      <c r="C745" s="119">
        <v>18314.400000000001</v>
      </c>
    </row>
    <row r="746" spans="2:3" x14ac:dyDescent="0.35">
      <c r="B746" s="517">
        <v>45065</v>
      </c>
      <c r="C746" s="119">
        <v>18203.400000000001</v>
      </c>
    </row>
    <row r="747" spans="2:3" x14ac:dyDescent="0.35">
      <c r="B747" s="517">
        <v>45064</v>
      </c>
      <c r="C747" s="119">
        <v>18129.95</v>
      </c>
    </row>
    <row r="748" spans="2:3" x14ac:dyDescent="0.35">
      <c r="B748" s="517">
        <v>45063</v>
      </c>
      <c r="C748" s="119">
        <v>18181.75</v>
      </c>
    </row>
    <row r="749" spans="2:3" x14ac:dyDescent="0.35">
      <c r="B749" s="517">
        <v>45062</v>
      </c>
      <c r="C749" s="119">
        <v>18286.5</v>
      </c>
    </row>
    <row r="750" spans="2:3" x14ac:dyDescent="0.35">
      <c r="B750" s="517">
        <v>45061</v>
      </c>
      <c r="C750" s="119">
        <v>18398.849999999999</v>
      </c>
    </row>
    <row r="751" spans="2:3" x14ac:dyDescent="0.35">
      <c r="B751" s="517">
        <v>45058</v>
      </c>
      <c r="C751" s="119">
        <v>18314.8</v>
      </c>
    </row>
    <row r="752" spans="2:3" x14ac:dyDescent="0.35">
      <c r="B752" s="517">
        <v>45057</v>
      </c>
      <c r="C752" s="119">
        <v>18297</v>
      </c>
    </row>
    <row r="753" spans="2:3" x14ac:dyDescent="0.35">
      <c r="B753" s="517">
        <v>45056</v>
      </c>
      <c r="C753" s="119">
        <v>18315.099999999999</v>
      </c>
    </row>
    <row r="754" spans="2:3" x14ac:dyDescent="0.35">
      <c r="B754" s="517">
        <v>45055</v>
      </c>
      <c r="C754" s="119">
        <v>18265.95</v>
      </c>
    </row>
    <row r="755" spans="2:3" x14ac:dyDescent="0.35">
      <c r="B755" s="517">
        <v>45054</v>
      </c>
      <c r="C755" s="119">
        <v>18264.400000000001</v>
      </c>
    </row>
    <row r="756" spans="2:3" x14ac:dyDescent="0.35">
      <c r="B756" s="517">
        <v>45051</v>
      </c>
      <c r="C756" s="119">
        <v>18069</v>
      </c>
    </row>
    <row r="757" spans="2:3" x14ac:dyDescent="0.35">
      <c r="B757" s="517">
        <v>45050</v>
      </c>
      <c r="C757" s="119">
        <v>18255.8</v>
      </c>
    </row>
    <row r="758" spans="2:3" x14ac:dyDescent="0.35">
      <c r="B758" s="517">
        <v>45049</v>
      </c>
      <c r="C758" s="119">
        <v>18089.849999999999</v>
      </c>
    </row>
    <row r="759" spans="2:3" x14ac:dyDescent="0.35">
      <c r="B759" s="517">
        <v>45048</v>
      </c>
      <c r="C759" s="119">
        <v>18147.650000000001</v>
      </c>
    </row>
    <row r="760" spans="2:3" x14ac:dyDescent="0.35">
      <c r="B760" s="517">
        <v>45044</v>
      </c>
      <c r="C760" s="119">
        <v>18065</v>
      </c>
    </row>
    <row r="761" spans="2:3" x14ac:dyDescent="0.35">
      <c r="B761" s="517">
        <v>45043</v>
      </c>
      <c r="C761" s="119">
        <v>17915.05</v>
      </c>
    </row>
    <row r="762" spans="2:3" x14ac:dyDescent="0.35">
      <c r="B762" s="517">
        <v>45042</v>
      </c>
      <c r="C762" s="119">
        <v>17813.599999999999</v>
      </c>
    </row>
    <row r="763" spans="2:3" x14ac:dyDescent="0.35">
      <c r="B763" s="517">
        <v>45041</v>
      </c>
      <c r="C763" s="119">
        <v>17769.25</v>
      </c>
    </row>
    <row r="764" spans="2:3" x14ac:dyDescent="0.35">
      <c r="B764" s="517">
        <v>45040</v>
      </c>
      <c r="C764" s="119">
        <v>17743.400000000001</v>
      </c>
    </row>
    <row r="765" spans="2:3" x14ac:dyDescent="0.35">
      <c r="B765" s="517">
        <v>45037</v>
      </c>
      <c r="C765" s="119">
        <v>17624.05</v>
      </c>
    </row>
    <row r="766" spans="2:3" x14ac:dyDescent="0.35">
      <c r="B766" s="517">
        <v>45036</v>
      </c>
      <c r="C766" s="119">
        <v>17624.45</v>
      </c>
    </row>
    <row r="767" spans="2:3" x14ac:dyDescent="0.35">
      <c r="B767" s="517">
        <v>45035</v>
      </c>
      <c r="C767" s="119">
        <v>17618.75</v>
      </c>
    </row>
    <row r="768" spans="2:3" x14ac:dyDescent="0.35">
      <c r="B768" s="517">
        <v>45034</v>
      </c>
      <c r="C768" s="119">
        <v>17660.150000000001</v>
      </c>
    </row>
    <row r="769" spans="2:3" x14ac:dyDescent="0.35">
      <c r="B769" s="517">
        <v>45033</v>
      </c>
      <c r="C769" s="119">
        <v>17706.849999999999</v>
      </c>
    </row>
    <row r="770" spans="2:3" x14ac:dyDescent="0.35">
      <c r="B770" s="517">
        <v>45029</v>
      </c>
      <c r="C770" s="119">
        <v>17828</v>
      </c>
    </row>
    <row r="771" spans="2:3" x14ac:dyDescent="0.35">
      <c r="B771" s="517">
        <v>45028</v>
      </c>
      <c r="C771" s="119">
        <v>17812.400000000001</v>
      </c>
    </row>
    <row r="772" spans="2:3" x14ac:dyDescent="0.35">
      <c r="B772" s="517">
        <v>45027</v>
      </c>
      <c r="C772" s="119">
        <v>17722.3</v>
      </c>
    </row>
    <row r="773" spans="2:3" x14ac:dyDescent="0.35">
      <c r="B773" s="517">
        <v>45026</v>
      </c>
      <c r="C773" s="119">
        <v>17624.05</v>
      </c>
    </row>
    <row r="774" spans="2:3" x14ac:dyDescent="0.35">
      <c r="B774" s="517">
        <v>45022</v>
      </c>
      <c r="C774" s="119">
        <v>17599.150000000001</v>
      </c>
    </row>
    <row r="775" spans="2:3" x14ac:dyDescent="0.35">
      <c r="B775" s="517">
        <v>45021</v>
      </c>
      <c r="C775" s="119">
        <v>17557.05</v>
      </c>
    </row>
    <row r="776" spans="2:3" x14ac:dyDescent="0.35">
      <c r="B776" s="517">
        <v>45019</v>
      </c>
      <c r="C776" s="119">
        <v>17398.05</v>
      </c>
    </row>
    <row r="777" spans="2:3" x14ac:dyDescent="0.35">
      <c r="B777" s="517">
        <v>45016</v>
      </c>
      <c r="C777" s="119">
        <v>17359.75</v>
      </c>
    </row>
    <row r="778" spans="2:3" x14ac:dyDescent="0.35">
      <c r="B778" s="517">
        <v>45014</v>
      </c>
      <c r="C778" s="119">
        <v>17080.7</v>
      </c>
    </row>
    <row r="779" spans="2:3" x14ac:dyDescent="0.35">
      <c r="B779" s="517">
        <v>45013</v>
      </c>
      <c r="C779" s="119">
        <v>16951.7</v>
      </c>
    </row>
    <row r="780" spans="2:3" x14ac:dyDescent="0.35">
      <c r="B780" s="517">
        <v>45012</v>
      </c>
      <c r="C780" s="119">
        <v>16985.7</v>
      </c>
    </row>
    <row r="781" spans="2:3" x14ac:dyDescent="0.35">
      <c r="B781" s="517">
        <v>45009</v>
      </c>
      <c r="C781" s="119">
        <v>16945.05</v>
      </c>
    </row>
    <row r="782" spans="2:3" x14ac:dyDescent="0.35">
      <c r="B782" s="517">
        <v>45008</v>
      </c>
      <c r="C782" s="119">
        <v>17076.900000000001</v>
      </c>
    </row>
    <row r="783" spans="2:3" x14ac:dyDescent="0.35">
      <c r="B783" s="517">
        <v>45007</v>
      </c>
      <c r="C783" s="119">
        <v>17151.900000000001</v>
      </c>
    </row>
    <row r="784" spans="2:3" x14ac:dyDescent="0.35">
      <c r="B784" s="517">
        <v>45006</v>
      </c>
      <c r="C784" s="119">
        <v>17107.5</v>
      </c>
    </row>
    <row r="785" spans="2:3" x14ac:dyDescent="0.35">
      <c r="B785" s="517">
        <v>45005</v>
      </c>
      <c r="C785" s="119">
        <v>16988.400000000001</v>
      </c>
    </row>
    <row r="786" spans="2:3" x14ac:dyDescent="0.35">
      <c r="B786" s="517">
        <v>45002</v>
      </c>
      <c r="C786" s="119">
        <v>17100.05</v>
      </c>
    </row>
    <row r="787" spans="2:3" x14ac:dyDescent="0.35">
      <c r="B787" s="517">
        <v>45001</v>
      </c>
      <c r="C787" s="119">
        <v>16985.599999999999</v>
      </c>
    </row>
    <row r="788" spans="2:3" x14ac:dyDescent="0.35">
      <c r="B788" s="517">
        <v>45000</v>
      </c>
      <c r="C788" s="119">
        <v>16972.150000000001</v>
      </c>
    </row>
    <row r="789" spans="2:3" x14ac:dyDescent="0.35">
      <c r="B789" s="517">
        <v>44999</v>
      </c>
      <c r="C789" s="119">
        <v>17043.3</v>
      </c>
    </row>
    <row r="790" spans="2:3" x14ac:dyDescent="0.35">
      <c r="B790" s="517">
        <v>44998</v>
      </c>
      <c r="C790" s="119">
        <v>17154.3</v>
      </c>
    </row>
    <row r="791" spans="2:3" x14ac:dyDescent="0.35">
      <c r="B791" s="517">
        <v>44995</v>
      </c>
      <c r="C791" s="119">
        <v>17412.900000000001</v>
      </c>
    </row>
    <row r="792" spans="2:3" x14ac:dyDescent="0.35">
      <c r="B792" s="517">
        <v>44994</v>
      </c>
      <c r="C792" s="119">
        <v>17589.599999999999</v>
      </c>
    </row>
    <row r="793" spans="2:3" x14ac:dyDescent="0.35">
      <c r="B793" s="517">
        <v>44993</v>
      </c>
      <c r="C793" s="119">
        <v>17754.400000000001</v>
      </c>
    </row>
    <row r="794" spans="2:3" x14ac:dyDescent="0.35">
      <c r="B794" s="517">
        <v>44991</v>
      </c>
      <c r="C794" s="119">
        <v>17711.45</v>
      </c>
    </row>
    <row r="795" spans="2:3" x14ac:dyDescent="0.35">
      <c r="B795" s="517">
        <v>44988</v>
      </c>
      <c r="C795" s="119">
        <v>17594.349999999999</v>
      </c>
    </row>
    <row r="796" spans="2:3" x14ac:dyDescent="0.35">
      <c r="B796" s="517">
        <v>44987</v>
      </c>
      <c r="C796" s="119">
        <v>17321.900000000001</v>
      </c>
    </row>
    <row r="797" spans="2:3" x14ac:dyDescent="0.35">
      <c r="B797" s="517">
        <v>44986</v>
      </c>
      <c r="C797" s="119">
        <v>17450.900000000001</v>
      </c>
    </row>
    <row r="798" spans="2:3" x14ac:dyDescent="0.35">
      <c r="B798" s="517">
        <v>44985</v>
      </c>
      <c r="C798" s="119">
        <v>17303.95</v>
      </c>
    </row>
    <row r="799" spans="2:3" x14ac:dyDescent="0.35">
      <c r="B799" s="517">
        <v>44984</v>
      </c>
      <c r="C799" s="119">
        <v>17392.7</v>
      </c>
    </row>
    <row r="800" spans="2:3" x14ac:dyDescent="0.35">
      <c r="B800" s="517">
        <v>44981</v>
      </c>
      <c r="C800" s="119">
        <v>17465.8</v>
      </c>
    </row>
    <row r="801" spans="2:3" x14ac:dyDescent="0.35">
      <c r="B801" s="517">
        <v>44980</v>
      </c>
      <c r="C801" s="119">
        <v>17511.25</v>
      </c>
    </row>
    <row r="802" spans="2:3" x14ac:dyDescent="0.35">
      <c r="B802" s="517">
        <v>44979</v>
      </c>
      <c r="C802" s="119">
        <v>17554.3</v>
      </c>
    </row>
    <row r="803" spans="2:3" x14ac:dyDescent="0.35">
      <c r="B803" s="517">
        <v>44978</v>
      </c>
      <c r="C803" s="119">
        <v>17826.7</v>
      </c>
    </row>
    <row r="804" spans="2:3" x14ac:dyDescent="0.35">
      <c r="B804" s="517">
        <v>44977</v>
      </c>
      <c r="C804" s="119">
        <v>17844.599999999999</v>
      </c>
    </row>
    <row r="805" spans="2:3" x14ac:dyDescent="0.35">
      <c r="B805" s="517">
        <v>44974</v>
      </c>
      <c r="C805" s="119">
        <v>17944.2</v>
      </c>
    </row>
    <row r="806" spans="2:3" x14ac:dyDescent="0.35">
      <c r="B806" s="517">
        <v>44973</v>
      </c>
      <c r="C806" s="119">
        <v>18035.849999999999</v>
      </c>
    </row>
    <row r="807" spans="2:3" x14ac:dyDescent="0.35">
      <c r="B807" s="517">
        <v>44972</v>
      </c>
      <c r="C807" s="119">
        <v>18015.849999999999</v>
      </c>
    </row>
    <row r="808" spans="2:3" x14ac:dyDescent="0.35">
      <c r="B808" s="517">
        <v>44971</v>
      </c>
      <c r="C808" s="119">
        <v>17929.849999999999</v>
      </c>
    </row>
    <row r="809" spans="2:3" x14ac:dyDescent="0.35">
      <c r="B809" s="517">
        <v>44970</v>
      </c>
      <c r="C809" s="119">
        <v>17770.900000000001</v>
      </c>
    </row>
    <row r="810" spans="2:3" x14ac:dyDescent="0.35">
      <c r="B810" s="517">
        <v>44967</v>
      </c>
      <c r="C810" s="119">
        <v>17856.5</v>
      </c>
    </row>
    <row r="811" spans="2:3" x14ac:dyDescent="0.35">
      <c r="B811" s="517">
        <v>44966</v>
      </c>
      <c r="C811" s="119">
        <v>17893.45</v>
      </c>
    </row>
    <row r="812" spans="2:3" x14ac:dyDescent="0.35">
      <c r="B812" s="517">
        <v>44965</v>
      </c>
      <c r="C812" s="119">
        <v>17871.7</v>
      </c>
    </row>
    <row r="813" spans="2:3" x14ac:dyDescent="0.35">
      <c r="B813" s="517">
        <v>44964</v>
      </c>
      <c r="C813" s="119">
        <v>17721.5</v>
      </c>
    </row>
    <row r="814" spans="2:3" x14ac:dyDescent="0.35">
      <c r="B814" s="517">
        <v>44963</v>
      </c>
      <c r="C814" s="119">
        <v>17764.599999999999</v>
      </c>
    </row>
    <row r="815" spans="2:3" x14ac:dyDescent="0.35">
      <c r="B815" s="517">
        <v>44960</v>
      </c>
      <c r="C815" s="119">
        <v>17854.05</v>
      </c>
    </row>
    <row r="816" spans="2:3" x14ac:dyDescent="0.35">
      <c r="B816" s="517">
        <v>44959</v>
      </c>
      <c r="C816" s="119">
        <v>17610.400000000001</v>
      </c>
    </row>
    <row r="817" spans="2:3" x14ac:dyDescent="0.35">
      <c r="B817" s="517">
        <v>44958</v>
      </c>
      <c r="C817" s="119">
        <v>17616.3</v>
      </c>
    </row>
    <row r="818" spans="2:3" x14ac:dyDescent="0.35">
      <c r="B818" s="517">
        <v>44957</v>
      </c>
      <c r="C818" s="119">
        <v>17662.150000000001</v>
      </c>
    </row>
    <row r="819" spans="2:3" x14ac:dyDescent="0.35">
      <c r="B819" s="517">
        <v>44956</v>
      </c>
      <c r="C819" s="119">
        <v>17648.95</v>
      </c>
    </row>
    <row r="820" spans="2:3" x14ac:dyDescent="0.35">
      <c r="B820" s="517">
        <v>44953</v>
      </c>
      <c r="C820" s="119">
        <v>17604.349999999999</v>
      </c>
    </row>
    <row r="821" spans="2:3" x14ac:dyDescent="0.35">
      <c r="B821" s="517">
        <v>44951</v>
      </c>
      <c r="C821" s="119">
        <v>17891.95</v>
      </c>
    </row>
    <row r="822" spans="2:3" x14ac:dyDescent="0.35">
      <c r="B822" s="517">
        <v>44950</v>
      </c>
      <c r="C822" s="119">
        <v>18118.3</v>
      </c>
    </row>
    <row r="823" spans="2:3" x14ac:dyDescent="0.35">
      <c r="B823" s="517">
        <v>44949</v>
      </c>
      <c r="C823" s="119">
        <v>18118.55</v>
      </c>
    </row>
    <row r="824" spans="2:3" x14ac:dyDescent="0.35">
      <c r="B824" s="517">
        <v>44946</v>
      </c>
      <c r="C824" s="119">
        <v>18027.650000000001</v>
      </c>
    </row>
    <row r="825" spans="2:3" x14ac:dyDescent="0.35">
      <c r="B825" s="517">
        <v>44945</v>
      </c>
      <c r="C825" s="119">
        <v>18107.849999999999</v>
      </c>
    </row>
    <row r="826" spans="2:3" x14ac:dyDescent="0.35">
      <c r="B826" s="517">
        <v>44944</v>
      </c>
      <c r="C826" s="119">
        <v>18165.349999999999</v>
      </c>
    </row>
    <row r="827" spans="2:3" x14ac:dyDescent="0.35">
      <c r="B827" s="517">
        <v>44943</v>
      </c>
      <c r="C827" s="119">
        <v>18053.3</v>
      </c>
    </row>
    <row r="828" spans="2:3" x14ac:dyDescent="0.35">
      <c r="B828" s="517">
        <v>44942</v>
      </c>
      <c r="C828" s="119">
        <v>17894.849999999999</v>
      </c>
    </row>
    <row r="829" spans="2:3" x14ac:dyDescent="0.35">
      <c r="B829" s="517">
        <v>44939</v>
      </c>
      <c r="C829" s="119">
        <v>17956.599999999999</v>
      </c>
    </row>
    <row r="830" spans="2:3" x14ac:dyDescent="0.35">
      <c r="B830" s="517">
        <v>44938</v>
      </c>
      <c r="C830" s="119">
        <v>17858.2</v>
      </c>
    </row>
    <row r="831" spans="2:3" x14ac:dyDescent="0.35">
      <c r="B831" s="517">
        <v>44937</v>
      </c>
      <c r="C831" s="119">
        <v>17895.7</v>
      </c>
    </row>
    <row r="832" spans="2:3" x14ac:dyDescent="0.35">
      <c r="B832" s="517">
        <v>44936</v>
      </c>
      <c r="C832" s="119">
        <v>17914.150000000001</v>
      </c>
    </row>
    <row r="833" spans="2:3" x14ac:dyDescent="0.35">
      <c r="B833" s="517">
        <v>44935</v>
      </c>
      <c r="C833" s="119">
        <v>18101.2</v>
      </c>
    </row>
    <row r="834" spans="2:3" x14ac:dyDescent="0.35">
      <c r="B834" s="517">
        <v>44932</v>
      </c>
      <c r="C834" s="119">
        <v>17859.45</v>
      </c>
    </row>
    <row r="835" spans="2:3" x14ac:dyDescent="0.35">
      <c r="B835" s="517">
        <v>44931</v>
      </c>
      <c r="C835" s="119">
        <v>17992.150000000001</v>
      </c>
    </row>
    <row r="836" spans="2:3" x14ac:dyDescent="0.35">
      <c r="B836" s="517">
        <v>44930</v>
      </c>
      <c r="C836" s="119">
        <v>18042.95</v>
      </c>
    </row>
    <row r="837" spans="2:3" x14ac:dyDescent="0.35">
      <c r="B837" s="517">
        <v>44929</v>
      </c>
      <c r="C837" s="119">
        <v>18232.55</v>
      </c>
    </row>
    <row r="838" spans="2:3" x14ac:dyDescent="0.35">
      <c r="B838" s="517">
        <v>44928</v>
      </c>
      <c r="C838" s="119">
        <v>18197.45</v>
      </c>
    </row>
    <row r="839" spans="2:3" x14ac:dyDescent="0.35">
      <c r="B839" s="517">
        <v>44925</v>
      </c>
      <c r="C839" s="119">
        <v>18105.3</v>
      </c>
    </row>
    <row r="840" spans="2:3" x14ac:dyDescent="0.35">
      <c r="B840" s="517">
        <v>44924</v>
      </c>
      <c r="C840" s="119">
        <v>18191</v>
      </c>
    </row>
    <row r="841" spans="2:3" x14ac:dyDescent="0.35">
      <c r="B841" s="517">
        <v>44923</v>
      </c>
      <c r="C841" s="119">
        <v>18122.5</v>
      </c>
    </row>
    <row r="842" spans="2:3" x14ac:dyDescent="0.35">
      <c r="B842" s="517">
        <v>44922</v>
      </c>
      <c r="C842" s="119">
        <v>18132.3</v>
      </c>
    </row>
    <row r="843" spans="2:3" x14ac:dyDescent="0.35">
      <c r="B843" s="517">
        <v>44921</v>
      </c>
      <c r="C843" s="119">
        <v>18014.599999999999</v>
      </c>
    </row>
    <row r="844" spans="2:3" x14ac:dyDescent="0.35">
      <c r="B844" s="517">
        <v>44918</v>
      </c>
      <c r="C844" s="119">
        <v>17806.8</v>
      </c>
    </row>
    <row r="845" spans="2:3" x14ac:dyDescent="0.35">
      <c r="B845" s="517">
        <v>44917</v>
      </c>
      <c r="C845" s="119">
        <v>18127.349999999999</v>
      </c>
    </row>
    <row r="846" spans="2:3" x14ac:dyDescent="0.35">
      <c r="B846" s="517">
        <v>44916</v>
      </c>
      <c r="C846" s="119">
        <v>18199.099999999999</v>
      </c>
    </row>
    <row r="847" spans="2:3" x14ac:dyDescent="0.35">
      <c r="B847" s="517">
        <v>44915</v>
      </c>
      <c r="C847" s="119">
        <v>18385.3</v>
      </c>
    </row>
    <row r="848" spans="2:3" x14ac:dyDescent="0.35">
      <c r="B848" s="517">
        <v>44914</v>
      </c>
      <c r="C848" s="119">
        <v>18420.45</v>
      </c>
    </row>
    <row r="849" spans="2:3" x14ac:dyDescent="0.35">
      <c r="B849" s="517">
        <v>44911</v>
      </c>
      <c r="C849" s="119">
        <v>18269</v>
      </c>
    </row>
    <row r="850" spans="2:3" x14ac:dyDescent="0.35">
      <c r="B850" s="517">
        <v>44910</v>
      </c>
      <c r="C850" s="119">
        <v>18414.900000000001</v>
      </c>
    </row>
    <row r="851" spans="2:3" x14ac:dyDescent="0.35">
      <c r="B851" s="517">
        <v>44909</v>
      </c>
      <c r="C851" s="119">
        <v>18660.3</v>
      </c>
    </row>
    <row r="852" spans="2:3" x14ac:dyDescent="0.35">
      <c r="B852" s="517">
        <v>44908</v>
      </c>
      <c r="C852" s="119">
        <v>18608</v>
      </c>
    </row>
    <row r="853" spans="2:3" x14ac:dyDescent="0.35">
      <c r="B853" s="517">
        <v>44907</v>
      </c>
      <c r="C853" s="119">
        <v>18497.150000000001</v>
      </c>
    </row>
    <row r="854" spans="2:3" x14ac:dyDescent="0.35">
      <c r="B854" s="517">
        <v>44904</v>
      </c>
      <c r="C854" s="119">
        <v>18496.599999999999</v>
      </c>
    </row>
    <row r="855" spans="2:3" x14ac:dyDescent="0.35">
      <c r="B855" s="517">
        <v>44903</v>
      </c>
      <c r="C855" s="119">
        <v>18609.349999999999</v>
      </c>
    </row>
    <row r="856" spans="2:3" x14ac:dyDescent="0.35">
      <c r="B856" s="517">
        <v>44902</v>
      </c>
      <c r="C856" s="119">
        <v>18560.5</v>
      </c>
    </row>
    <row r="857" spans="2:3" x14ac:dyDescent="0.35">
      <c r="B857" s="517">
        <v>44901</v>
      </c>
      <c r="C857" s="119">
        <v>18642.75</v>
      </c>
    </row>
    <row r="858" spans="2:3" x14ac:dyDescent="0.35">
      <c r="B858" s="517">
        <v>44900</v>
      </c>
      <c r="C858" s="119">
        <v>18701.05</v>
      </c>
    </row>
    <row r="859" spans="2:3" x14ac:dyDescent="0.35">
      <c r="B859" s="517">
        <v>44897</v>
      </c>
      <c r="C859" s="119">
        <v>18696.099999999999</v>
      </c>
    </row>
    <row r="860" spans="2:3" x14ac:dyDescent="0.35">
      <c r="B860" s="517">
        <v>44896</v>
      </c>
      <c r="C860" s="119">
        <v>18812.5</v>
      </c>
    </row>
    <row r="861" spans="2:3" x14ac:dyDescent="0.35">
      <c r="B861" s="517">
        <v>44895</v>
      </c>
      <c r="C861" s="119">
        <v>18758.349999999999</v>
      </c>
    </row>
    <row r="862" spans="2:3" x14ac:dyDescent="0.35">
      <c r="B862" s="517">
        <v>44894</v>
      </c>
      <c r="C862" s="119">
        <v>18618.05</v>
      </c>
    </row>
    <row r="863" spans="2:3" x14ac:dyDescent="0.35">
      <c r="B863" s="517">
        <v>44893</v>
      </c>
      <c r="C863" s="119">
        <v>18562.75</v>
      </c>
    </row>
    <row r="864" spans="2:3" x14ac:dyDescent="0.35">
      <c r="B864" s="517">
        <v>44890</v>
      </c>
      <c r="C864" s="119">
        <v>18512.75</v>
      </c>
    </row>
    <row r="865" spans="2:3" x14ac:dyDescent="0.35">
      <c r="B865" s="517">
        <v>44889</v>
      </c>
      <c r="C865" s="119">
        <v>18484.099999999999</v>
      </c>
    </row>
    <row r="866" spans="2:3" x14ac:dyDescent="0.35">
      <c r="B866" s="517">
        <v>44888</v>
      </c>
      <c r="C866" s="119">
        <v>18267.25</v>
      </c>
    </row>
    <row r="867" spans="2:3" x14ac:dyDescent="0.35">
      <c r="B867" s="517">
        <v>44887</v>
      </c>
      <c r="C867" s="119">
        <v>18244.2</v>
      </c>
    </row>
    <row r="868" spans="2:3" x14ac:dyDescent="0.35">
      <c r="B868" s="517">
        <v>44886</v>
      </c>
      <c r="C868" s="119">
        <v>18159.95</v>
      </c>
    </row>
    <row r="869" spans="2:3" x14ac:dyDescent="0.35">
      <c r="B869" s="517">
        <v>44883</v>
      </c>
      <c r="C869" s="119">
        <v>18307.650000000001</v>
      </c>
    </row>
    <row r="870" spans="2:3" x14ac:dyDescent="0.35">
      <c r="B870" s="517">
        <v>44882</v>
      </c>
      <c r="C870" s="119">
        <v>18343.900000000001</v>
      </c>
    </row>
    <row r="871" spans="2:3" x14ac:dyDescent="0.35">
      <c r="B871" s="517">
        <v>44881</v>
      </c>
      <c r="C871" s="119">
        <v>18409.650000000001</v>
      </c>
    </row>
    <row r="872" spans="2:3" x14ac:dyDescent="0.35">
      <c r="B872" s="517">
        <v>44880</v>
      </c>
      <c r="C872" s="119">
        <v>18403.400000000001</v>
      </c>
    </row>
    <row r="873" spans="2:3" x14ac:dyDescent="0.35">
      <c r="B873" s="517">
        <v>44879</v>
      </c>
      <c r="C873" s="119">
        <v>18329.150000000001</v>
      </c>
    </row>
    <row r="874" spans="2:3" x14ac:dyDescent="0.35">
      <c r="B874" s="517">
        <v>44876</v>
      </c>
      <c r="C874" s="119">
        <v>18349.7</v>
      </c>
    </row>
    <row r="875" spans="2:3" x14ac:dyDescent="0.35">
      <c r="B875" s="517">
        <v>44875</v>
      </c>
      <c r="C875" s="119">
        <v>18028.2</v>
      </c>
    </row>
    <row r="876" spans="2:3" x14ac:dyDescent="0.35">
      <c r="B876" s="517">
        <v>44874</v>
      </c>
      <c r="C876" s="119">
        <v>18157</v>
      </c>
    </row>
    <row r="877" spans="2:3" x14ac:dyDescent="0.35">
      <c r="B877" s="517">
        <v>44872</v>
      </c>
      <c r="C877" s="119">
        <v>18202.8</v>
      </c>
    </row>
    <row r="878" spans="2:3" x14ac:dyDescent="0.35">
      <c r="B878" s="517">
        <v>44869</v>
      </c>
      <c r="C878" s="119">
        <v>18117.150000000001</v>
      </c>
    </row>
    <row r="879" spans="2:3" x14ac:dyDescent="0.35">
      <c r="B879" s="517">
        <v>44868</v>
      </c>
      <c r="C879" s="119">
        <v>18052.7</v>
      </c>
    </row>
    <row r="880" spans="2:3" x14ac:dyDescent="0.35">
      <c r="B880" s="517">
        <v>44867</v>
      </c>
      <c r="C880" s="119">
        <v>18082.849999999999</v>
      </c>
    </row>
    <row r="881" spans="2:3" x14ac:dyDescent="0.35">
      <c r="B881" s="517">
        <v>44866</v>
      </c>
      <c r="C881" s="119">
        <v>18145.400000000001</v>
      </c>
    </row>
    <row r="882" spans="2:3" x14ac:dyDescent="0.35">
      <c r="B882" s="517">
        <v>44865</v>
      </c>
      <c r="C882" s="119">
        <v>18012.2</v>
      </c>
    </row>
    <row r="883" spans="2:3" x14ac:dyDescent="0.35">
      <c r="B883" s="517">
        <v>44862</v>
      </c>
      <c r="C883" s="119">
        <v>17786.8</v>
      </c>
    </row>
    <row r="884" spans="2:3" x14ac:dyDescent="0.35">
      <c r="B884" s="517">
        <v>44861</v>
      </c>
      <c r="C884" s="119">
        <v>17736.95</v>
      </c>
    </row>
    <row r="885" spans="2:3" x14ac:dyDescent="0.35">
      <c r="B885" s="517">
        <v>44859</v>
      </c>
      <c r="C885" s="119">
        <v>17656.349999999999</v>
      </c>
    </row>
    <row r="886" spans="2:3" x14ac:dyDescent="0.35">
      <c r="B886" s="517">
        <v>44858</v>
      </c>
      <c r="C886" s="119">
        <v>17730.75</v>
      </c>
    </row>
    <row r="887" spans="2:3" x14ac:dyDescent="0.35">
      <c r="B887" s="517">
        <v>44855</v>
      </c>
      <c r="C887" s="119">
        <v>17576.3</v>
      </c>
    </row>
    <row r="888" spans="2:3" x14ac:dyDescent="0.35">
      <c r="B888" s="517">
        <v>44854</v>
      </c>
      <c r="C888" s="119">
        <v>17563.95</v>
      </c>
    </row>
    <row r="889" spans="2:3" x14ac:dyDescent="0.35">
      <c r="B889" s="517">
        <v>44853</v>
      </c>
      <c r="C889" s="119">
        <v>17512.25</v>
      </c>
    </row>
    <row r="890" spans="2:3" x14ac:dyDescent="0.35">
      <c r="B890" s="517">
        <v>44852</v>
      </c>
      <c r="C890" s="119">
        <v>17486.95</v>
      </c>
    </row>
    <row r="891" spans="2:3" x14ac:dyDescent="0.35">
      <c r="B891" s="517">
        <v>44851</v>
      </c>
      <c r="C891" s="119">
        <v>17311.8</v>
      </c>
    </row>
    <row r="892" spans="2:3" x14ac:dyDescent="0.35">
      <c r="B892" s="517">
        <v>44848</v>
      </c>
      <c r="C892" s="119">
        <v>17185.7</v>
      </c>
    </row>
    <row r="893" spans="2:3" x14ac:dyDescent="0.35">
      <c r="B893" s="517">
        <v>44847</v>
      </c>
      <c r="C893" s="119">
        <v>17014.349999999999</v>
      </c>
    </row>
    <row r="894" spans="2:3" x14ac:dyDescent="0.35">
      <c r="B894" s="517">
        <v>44846</v>
      </c>
      <c r="C894" s="119">
        <v>17123.599999999999</v>
      </c>
    </row>
    <row r="895" spans="2:3" x14ac:dyDescent="0.35">
      <c r="B895" s="517">
        <v>44845</v>
      </c>
      <c r="C895" s="119">
        <v>16983.55</v>
      </c>
    </row>
    <row r="896" spans="2:3" x14ac:dyDescent="0.35">
      <c r="B896" s="517">
        <v>44844</v>
      </c>
      <c r="C896" s="119">
        <v>17241</v>
      </c>
    </row>
    <row r="897" spans="2:3" x14ac:dyDescent="0.35">
      <c r="B897" s="517">
        <v>44841</v>
      </c>
      <c r="C897" s="119">
        <v>17314.650000000001</v>
      </c>
    </row>
    <row r="898" spans="2:3" x14ac:dyDescent="0.35">
      <c r="B898" s="517">
        <v>44840</v>
      </c>
      <c r="C898" s="119">
        <v>17331.8</v>
      </c>
    </row>
    <row r="899" spans="2:3" x14ac:dyDescent="0.35">
      <c r="B899" s="517">
        <v>44838</v>
      </c>
      <c r="C899" s="119">
        <v>17274.3</v>
      </c>
    </row>
    <row r="900" spans="2:3" x14ac:dyDescent="0.35">
      <c r="B900" s="517">
        <v>44837</v>
      </c>
      <c r="C900" s="119">
        <v>16887.349999999999</v>
      </c>
    </row>
    <row r="901" spans="2:3" x14ac:dyDescent="0.35">
      <c r="B901" s="517">
        <v>44834</v>
      </c>
      <c r="C901" s="119">
        <v>17094.349999999999</v>
      </c>
    </row>
    <row r="902" spans="2:3" x14ac:dyDescent="0.35">
      <c r="B902" s="517">
        <v>44833</v>
      </c>
      <c r="C902" s="119">
        <v>16818.099999999999</v>
      </c>
    </row>
    <row r="903" spans="2:3" x14ac:dyDescent="0.35">
      <c r="B903" s="517">
        <v>44832</v>
      </c>
      <c r="C903" s="119">
        <v>16858.599999999999</v>
      </c>
    </row>
    <row r="904" spans="2:3" x14ac:dyDescent="0.35">
      <c r="B904" s="517">
        <v>44831</v>
      </c>
      <c r="C904" s="119">
        <v>17007.400000000001</v>
      </c>
    </row>
    <row r="905" spans="2:3" x14ac:dyDescent="0.35">
      <c r="B905" s="517">
        <v>44830</v>
      </c>
      <c r="C905" s="119">
        <v>17016.3</v>
      </c>
    </row>
    <row r="906" spans="2:3" x14ac:dyDescent="0.35">
      <c r="B906" s="517">
        <v>44827</v>
      </c>
      <c r="C906" s="119">
        <v>17327.349999999999</v>
      </c>
    </row>
    <row r="907" spans="2:3" x14ac:dyDescent="0.35">
      <c r="B907" s="517">
        <v>44826</v>
      </c>
      <c r="C907" s="119">
        <v>17629.8</v>
      </c>
    </row>
    <row r="908" spans="2:3" x14ac:dyDescent="0.35">
      <c r="B908" s="517">
        <v>44825</v>
      </c>
      <c r="C908" s="119">
        <v>17718.349999999999</v>
      </c>
    </row>
    <row r="909" spans="2:3" x14ac:dyDescent="0.35">
      <c r="B909" s="517">
        <v>44824</v>
      </c>
      <c r="C909" s="119">
        <v>17816.25</v>
      </c>
    </row>
    <row r="910" spans="2:3" x14ac:dyDescent="0.35">
      <c r="B910" s="517">
        <v>44823</v>
      </c>
      <c r="C910" s="119">
        <v>17622.25</v>
      </c>
    </row>
    <row r="911" spans="2:3" x14ac:dyDescent="0.35">
      <c r="B911" s="517">
        <v>44820</v>
      </c>
      <c r="C911" s="119">
        <v>17530.849999999999</v>
      </c>
    </row>
    <row r="912" spans="2:3" x14ac:dyDescent="0.35">
      <c r="B912" s="517">
        <v>44819</v>
      </c>
      <c r="C912" s="119">
        <v>17877.400000000001</v>
      </c>
    </row>
    <row r="913" spans="2:3" x14ac:dyDescent="0.35">
      <c r="B913" s="517">
        <v>44818</v>
      </c>
      <c r="C913" s="119">
        <v>18003.75</v>
      </c>
    </row>
    <row r="914" spans="2:3" x14ac:dyDescent="0.35">
      <c r="B914" s="517">
        <v>44817</v>
      </c>
      <c r="C914" s="119">
        <v>18070.05</v>
      </c>
    </row>
    <row r="915" spans="2:3" x14ac:dyDescent="0.35">
      <c r="B915" s="517">
        <v>44816</v>
      </c>
      <c r="C915" s="119">
        <v>17936.349999999999</v>
      </c>
    </row>
    <row r="916" spans="2:3" x14ac:dyDescent="0.35">
      <c r="B916" s="517">
        <v>44813</v>
      </c>
      <c r="C916" s="119">
        <v>17833.349999999999</v>
      </c>
    </row>
    <row r="917" spans="2:3" x14ac:dyDescent="0.35">
      <c r="B917" s="517">
        <v>44812</v>
      </c>
      <c r="C917" s="119">
        <v>17798.75</v>
      </c>
    </row>
    <row r="918" spans="2:3" x14ac:dyDescent="0.35">
      <c r="B918" s="517">
        <v>44811</v>
      </c>
      <c r="C918" s="119">
        <v>17624.400000000001</v>
      </c>
    </row>
    <row r="919" spans="2:3" x14ac:dyDescent="0.35">
      <c r="B919" s="517">
        <v>44810</v>
      </c>
      <c r="C919" s="119">
        <v>17655.599999999999</v>
      </c>
    </row>
    <row r="920" spans="2:3" x14ac:dyDescent="0.35">
      <c r="B920" s="517">
        <v>44809</v>
      </c>
      <c r="C920" s="119">
        <v>17665.8</v>
      </c>
    </row>
    <row r="921" spans="2:3" x14ac:dyDescent="0.35">
      <c r="B921" s="517">
        <v>44806</v>
      </c>
      <c r="C921" s="119">
        <v>17539.45</v>
      </c>
    </row>
    <row r="922" spans="2:3" x14ac:dyDescent="0.35">
      <c r="B922" s="517">
        <v>44805</v>
      </c>
      <c r="C922" s="119">
        <v>17542.8</v>
      </c>
    </row>
    <row r="923" spans="2:3" x14ac:dyDescent="0.35">
      <c r="B923" s="517">
        <v>44803</v>
      </c>
      <c r="C923" s="119">
        <v>17759.3</v>
      </c>
    </row>
    <row r="924" spans="2:3" x14ac:dyDescent="0.35">
      <c r="B924" s="517">
        <v>44802</v>
      </c>
      <c r="C924" s="119">
        <v>17312.900000000001</v>
      </c>
    </row>
    <row r="925" spans="2:3" x14ac:dyDescent="0.35">
      <c r="B925" s="517">
        <v>44799</v>
      </c>
      <c r="C925" s="119">
        <v>17558.900000000001</v>
      </c>
    </row>
    <row r="926" spans="2:3" x14ac:dyDescent="0.35">
      <c r="B926" s="517">
        <v>44798</v>
      </c>
      <c r="C926" s="119">
        <v>17522.45</v>
      </c>
    </row>
    <row r="927" spans="2:3" x14ac:dyDescent="0.35">
      <c r="B927" s="517">
        <v>44797</v>
      </c>
      <c r="C927" s="119">
        <v>17604.95</v>
      </c>
    </row>
    <row r="928" spans="2:3" x14ac:dyDescent="0.35">
      <c r="B928" s="517">
        <v>44796</v>
      </c>
      <c r="C928" s="119">
        <v>17577.5</v>
      </c>
    </row>
    <row r="929" spans="2:3" x14ac:dyDescent="0.35">
      <c r="B929" s="517">
        <v>44795</v>
      </c>
      <c r="C929" s="119">
        <v>17490.7</v>
      </c>
    </row>
    <row r="930" spans="2:3" x14ac:dyDescent="0.35">
      <c r="B930" s="517">
        <v>44792</v>
      </c>
      <c r="C930" s="119">
        <v>17758.45</v>
      </c>
    </row>
    <row r="931" spans="2:3" x14ac:dyDescent="0.35">
      <c r="B931" s="517">
        <v>44791</v>
      </c>
      <c r="C931" s="119">
        <v>17956.5</v>
      </c>
    </row>
    <row r="932" spans="2:3" x14ac:dyDescent="0.35">
      <c r="B932" s="517">
        <v>44790</v>
      </c>
      <c r="C932" s="119">
        <v>17944.25</v>
      </c>
    </row>
    <row r="933" spans="2:3" x14ac:dyDescent="0.35">
      <c r="B933" s="517">
        <v>44789</v>
      </c>
      <c r="C933" s="119">
        <v>17825.25</v>
      </c>
    </row>
    <row r="934" spans="2:3" x14ac:dyDescent="0.35">
      <c r="B934" s="517">
        <v>44785</v>
      </c>
      <c r="C934" s="119">
        <v>17698.150000000001</v>
      </c>
    </row>
    <row r="935" spans="2:3" x14ac:dyDescent="0.35">
      <c r="B935" s="517">
        <v>44784</v>
      </c>
      <c r="C935" s="119">
        <v>17659</v>
      </c>
    </row>
    <row r="936" spans="2:3" x14ac:dyDescent="0.35">
      <c r="B936" s="517">
        <v>44783</v>
      </c>
      <c r="C936" s="119">
        <v>17534.75</v>
      </c>
    </row>
    <row r="937" spans="2:3" x14ac:dyDescent="0.35">
      <c r="B937" s="517">
        <v>44781</v>
      </c>
      <c r="C937" s="119">
        <v>17525.099999999999</v>
      </c>
    </row>
    <row r="938" spans="2:3" x14ac:dyDescent="0.35">
      <c r="B938" s="517">
        <v>44778</v>
      </c>
      <c r="C938" s="119">
        <v>17397.5</v>
      </c>
    </row>
    <row r="939" spans="2:3" x14ac:dyDescent="0.35">
      <c r="B939" s="517">
        <v>44777</v>
      </c>
      <c r="C939" s="119">
        <v>17382</v>
      </c>
    </row>
    <row r="940" spans="2:3" x14ac:dyDescent="0.35">
      <c r="B940" s="517">
        <v>44776</v>
      </c>
      <c r="C940" s="119">
        <v>17388.150000000001</v>
      </c>
    </row>
    <row r="941" spans="2:3" x14ac:dyDescent="0.35">
      <c r="B941" s="517">
        <v>44775</v>
      </c>
      <c r="C941" s="119">
        <v>17345.45</v>
      </c>
    </row>
    <row r="942" spans="2:3" x14ac:dyDescent="0.35">
      <c r="B942" s="517">
        <v>44774</v>
      </c>
      <c r="C942" s="119">
        <v>17340.05</v>
      </c>
    </row>
    <row r="943" spans="2:3" x14ac:dyDescent="0.35">
      <c r="B943" s="517">
        <v>44771</v>
      </c>
      <c r="C943" s="119">
        <v>17158.25</v>
      </c>
    </row>
    <row r="944" spans="2:3" x14ac:dyDescent="0.35">
      <c r="B944" s="517">
        <v>44770</v>
      </c>
      <c r="C944" s="119">
        <v>16929.599999999999</v>
      </c>
    </row>
    <row r="945" spans="2:3" x14ac:dyDescent="0.35">
      <c r="B945" s="517">
        <v>44769</v>
      </c>
      <c r="C945" s="119">
        <v>16641.8</v>
      </c>
    </row>
    <row r="946" spans="2:3" x14ac:dyDescent="0.35">
      <c r="B946" s="517">
        <v>44768</v>
      </c>
      <c r="C946" s="119">
        <v>16483.849999999999</v>
      </c>
    </row>
    <row r="947" spans="2:3" x14ac:dyDescent="0.35">
      <c r="B947" s="517">
        <v>44767</v>
      </c>
      <c r="C947" s="119">
        <v>16631</v>
      </c>
    </row>
    <row r="948" spans="2:3" x14ac:dyDescent="0.35">
      <c r="B948" s="517">
        <v>44764</v>
      </c>
      <c r="C948" s="119">
        <v>16719.45</v>
      </c>
    </row>
    <row r="949" spans="2:3" x14ac:dyDescent="0.35">
      <c r="B949" s="517">
        <v>44763</v>
      </c>
      <c r="C949" s="119">
        <v>16605.25</v>
      </c>
    </row>
    <row r="950" spans="2:3" x14ac:dyDescent="0.35">
      <c r="B950" s="517">
        <v>44762</v>
      </c>
      <c r="C950" s="119">
        <v>16520.849999999999</v>
      </c>
    </row>
    <row r="951" spans="2:3" x14ac:dyDescent="0.35">
      <c r="B951" s="517">
        <v>44761</v>
      </c>
      <c r="C951" s="119">
        <v>16340.55</v>
      </c>
    </row>
    <row r="952" spans="2:3" x14ac:dyDescent="0.35">
      <c r="B952" s="517">
        <v>44760</v>
      </c>
      <c r="C952" s="119">
        <v>16278.5</v>
      </c>
    </row>
    <row r="953" spans="2:3" x14ac:dyDescent="0.35">
      <c r="B953" s="517">
        <v>44757</v>
      </c>
      <c r="C953" s="119">
        <v>16049.2</v>
      </c>
    </row>
    <row r="954" spans="2:3" x14ac:dyDescent="0.35">
      <c r="B954" s="517">
        <v>44756</v>
      </c>
      <c r="C954" s="119">
        <v>15938.65</v>
      </c>
    </row>
    <row r="955" spans="2:3" x14ac:dyDescent="0.35">
      <c r="B955" s="517">
        <v>44755</v>
      </c>
      <c r="C955" s="119">
        <v>15966.65</v>
      </c>
    </row>
    <row r="956" spans="2:3" x14ac:dyDescent="0.35">
      <c r="B956" s="517">
        <v>44754</v>
      </c>
      <c r="C956" s="119">
        <v>16058.3</v>
      </c>
    </row>
    <row r="957" spans="2:3" x14ac:dyDescent="0.35">
      <c r="B957" s="517">
        <v>44753</v>
      </c>
      <c r="C957" s="119">
        <v>16216</v>
      </c>
    </row>
    <row r="958" spans="2:3" x14ac:dyDescent="0.35">
      <c r="B958" s="517">
        <v>44750</v>
      </c>
      <c r="C958" s="119">
        <v>16220.6</v>
      </c>
    </row>
    <row r="959" spans="2:3" x14ac:dyDescent="0.35">
      <c r="B959" s="517">
        <v>44749</v>
      </c>
      <c r="C959" s="119">
        <v>16132.9</v>
      </c>
    </row>
    <row r="960" spans="2:3" x14ac:dyDescent="0.35">
      <c r="B960" s="517">
        <v>44748</v>
      </c>
      <c r="C960" s="119">
        <v>15989.8</v>
      </c>
    </row>
    <row r="961" spans="2:3" x14ac:dyDescent="0.35">
      <c r="B961" s="517">
        <v>44747</v>
      </c>
      <c r="C961" s="119">
        <v>15810.85</v>
      </c>
    </row>
    <row r="962" spans="2:3" x14ac:dyDescent="0.35">
      <c r="B962" s="517">
        <v>44746</v>
      </c>
      <c r="C962" s="119">
        <v>15835.35</v>
      </c>
    </row>
    <row r="963" spans="2:3" x14ac:dyDescent="0.35">
      <c r="B963" s="517">
        <v>44743</v>
      </c>
      <c r="C963" s="119">
        <v>15752.05</v>
      </c>
    </row>
    <row r="964" spans="2:3" x14ac:dyDescent="0.35">
      <c r="B964" s="517">
        <v>44742</v>
      </c>
      <c r="C964" s="119">
        <v>15780.25</v>
      </c>
    </row>
    <row r="965" spans="2:3" x14ac:dyDescent="0.35">
      <c r="B965" s="517">
        <v>44741</v>
      </c>
      <c r="C965" s="119">
        <v>15799.1</v>
      </c>
    </row>
    <row r="966" spans="2:3" x14ac:dyDescent="0.35">
      <c r="B966" s="517">
        <v>44740</v>
      </c>
      <c r="C966" s="119">
        <v>15850.2</v>
      </c>
    </row>
    <row r="967" spans="2:3" x14ac:dyDescent="0.35">
      <c r="B967" s="517">
        <v>44739</v>
      </c>
      <c r="C967" s="119">
        <v>15832.05</v>
      </c>
    </row>
    <row r="968" spans="2:3" x14ac:dyDescent="0.35">
      <c r="B968" s="517">
        <v>44736</v>
      </c>
      <c r="C968" s="119">
        <v>15699.25</v>
      </c>
    </row>
    <row r="969" spans="2:3" x14ac:dyDescent="0.35">
      <c r="B969" s="517">
        <v>44735</v>
      </c>
      <c r="C969" s="119">
        <v>15556.65</v>
      </c>
    </row>
    <row r="970" spans="2:3" x14ac:dyDescent="0.35">
      <c r="B970" s="517">
        <v>44734</v>
      </c>
      <c r="C970" s="119">
        <v>15413.3</v>
      </c>
    </row>
    <row r="971" spans="2:3" x14ac:dyDescent="0.35">
      <c r="B971" s="517">
        <v>44733</v>
      </c>
      <c r="C971" s="119">
        <v>15638.8</v>
      </c>
    </row>
    <row r="972" spans="2:3" x14ac:dyDescent="0.35">
      <c r="B972" s="517">
        <v>44732</v>
      </c>
      <c r="C972" s="119">
        <v>15350.15</v>
      </c>
    </row>
    <row r="973" spans="2:3" x14ac:dyDescent="0.35">
      <c r="B973" s="517">
        <v>44729</v>
      </c>
      <c r="C973" s="119">
        <v>15293.5</v>
      </c>
    </row>
    <row r="974" spans="2:3" x14ac:dyDescent="0.35">
      <c r="B974" s="517">
        <v>44728</v>
      </c>
      <c r="C974" s="119">
        <v>15360.6</v>
      </c>
    </row>
    <row r="975" spans="2:3" x14ac:dyDescent="0.35">
      <c r="B975" s="517">
        <v>44727</v>
      </c>
      <c r="C975" s="119">
        <v>15692.15</v>
      </c>
    </row>
    <row r="976" spans="2:3" x14ac:dyDescent="0.35">
      <c r="B976" s="517">
        <v>44726</v>
      </c>
      <c r="C976" s="119">
        <v>15732.1</v>
      </c>
    </row>
    <row r="977" spans="2:3" x14ac:dyDescent="0.35">
      <c r="B977" s="517">
        <v>44725</v>
      </c>
      <c r="C977" s="119">
        <v>15774.4</v>
      </c>
    </row>
    <row r="978" spans="2:3" x14ac:dyDescent="0.35">
      <c r="B978" s="517">
        <v>44722</v>
      </c>
      <c r="C978" s="119">
        <v>16201.8</v>
      </c>
    </row>
    <row r="979" spans="2:3" x14ac:dyDescent="0.35">
      <c r="B979" s="517">
        <v>44721</v>
      </c>
      <c r="C979" s="119">
        <v>16478.099999999999</v>
      </c>
    </row>
    <row r="980" spans="2:3" x14ac:dyDescent="0.35">
      <c r="B980" s="517">
        <v>44720</v>
      </c>
      <c r="C980" s="119">
        <v>16356.25</v>
      </c>
    </row>
    <row r="981" spans="2:3" x14ac:dyDescent="0.35">
      <c r="B981" s="517">
        <v>44719</v>
      </c>
      <c r="C981" s="119">
        <v>16416.349999999999</v>
      </c>
    </row>
    <row r="982" spans="2:3" x14ac:dyDescent="0.35">
      <c r="B982" s="517">
        <v>44718</v>
      </c>
      <c r="C982" s="119">
        <v>16569.55</v>
      </c>
    </row>
    <row r="983" spans="2:3" x14ac:dyDescent="0.35">
      <c r="B983" s="517">
        <v>44715</v>
      </c>
      <c r="C983" s="119">
        <v>16584.3</v>
      </c>
    </row>
    <row r="984" spans="2:3" x14ac:dyDescent="0.35">
      <c r="B984" s="517">
        <v>44714</v>
      </c>
      <c r="C984" s="119">
        <v>16628</v>
      </c>
    </row>
    <row r="985" spans="2:3" x14ac:dyDescent="0.35">
      <c r="B985" s="517">
        <v>44713</v>
      </c>
      <c r="C985" s="119">
        <v>16522.75</v>
      </c>
    </row>
    <row r="986" spans="2:3" x14ac:dyDescent="0.35">
      <c r="B986" s="517">
        <v>44712</v>
      </c>
      <c r="C986" s="119">
        <v>16584.55</v>
      </c>
    </row>
    <row r="987" spans="2:3" x14ac:dyDescent="0.35">
      <c r="B987" s="517">
        <v>44711</v>
      </c>
      <c r="C987" s="119">
        <v>16661.400000000001</v>
      </c>
    </row>
    <row r="988" spans="2:3" x14ac:dyDescent="0.35">
      <c r="B988" s="517">
        <v>44708</v>
      </c>
      <c r="C988" s="119">
        <v>16352.45</v>
      </c>
    </row>
    <row r="989" spans="2:3" x14ac:dyDescent="0.35">
      <c r="B989" s="517">
        <v>44707</v>
      </c>
      <c r="C989" s="119">
        <v>16170.15</v>
      </c>
    </row>
    <row r="990" spans="2:3" x14ac:dyDescent="0.35">
      <c r="B990" s="517">
        <v>44706</v>
      </c>
      <c r="C990" s="119">
        <v>16025.8</v>
      </c>
    </row>
    <row r="991" spans="2:3" x14ac:dyDescent="0.35">
      <c r="B991" s="517">
        <v>44705</v>
      </c>
      <c r="C991" s="119">
        <v>16125.15</v>
      </c>
    </row>
    <row r="992" spans="2:3" x14ac:dyDescent="0.35">
      <c r="B992" s="517">
        <v>44704</v>
      </c>
      <c r="C992" s="119">
        <v>16214.7</v>
      </c>
    </row>
    <row r="993" spans="2:3" x14ac:dyDescent="0.35">
      <c r="B993" s="517">
        <v>44701</v>
      </c>
      <c r="C993" s="119">
        <v>16266.15</v>
      </c>
    </row>
    <row r="994" spans="2:3" x14ac:dyDescent="0.35">
      <c r="B994" s="517">
        <v>44700</v>
      </c>
      <c r="C994" s="119">
        <v>15809.4</v>
      </c>
    </row>
    <row r="995" spans="2:3" x14ac:dyDescent="0.35">
      <c r="B995" s="517">
        <v>44699</v>
      </c>
      <c r="C995" s="119">
        <v>16240.3</v>
      </c>
    </row>
    <row r="996" spans="2:3" x14ac:dyDescent="0.35">
      <c r="B996" s="517">
        <v>44698</v>
      </c>
      <c r="C996" s="119">
        <v>16259.3</v>
      </c>
    </row>
    <row r="997" spans="2:3" x14ac:dyDescent="0.35">
      <c r="B997" s="517">
        <v>44697</v>
      </c>
      <c r="C997" s="119">
        <v>15842.3</v>
      </c>
    </row>
    <row r="998" spans="2:3" x14ac:dyDescent="0.35">
      <c r="B998" s="517">
        <v>44694</v>
      </c>
      <c r="C998" s="119">
        <v>15782.15</v>
      </c>
    </row>
    <row r="999" spans="2:3" x14ac:dyDescent="0.35">
      <c r="B999" s="517">
        <v>44693</v>
      </c>
      <c r="C999" s="119">
        <v>15808</v>
      </c>
    </row>
    <row r="1000" spans="2:3" x14ac:dyDescent="0.35">
      <c r="B1000" s="517">
        <v>44692</v>
      </c>
      <c r="C1000" s="119">
        <v>16167.1</v>
      </c>
    </row>
    <row r="1001" spans="2:3" x14ac:dyDescent="0.35">
      <c r="B1001" s="517">
        <v>44691</v>
      </c>
      <c r="C1001" s="119">
        <v>16240.05</v>
      </c>
    </row>
    <row r="1002" spans="2:3" x14ac:dyDescent="0.35">
      <c r="B1002" s="517">
        <v>44690</v>
      </c>
      <c r="C1002" s="119">
        <v>16301.85</v>
      </c>
    </row>
    <row r="1003" spans="2:3" x14ac:dyDescent="0.35">
      <c r="B1003" s="517">
        <v>44687</v>
      </c>
      <c r="C1003" s="119">
        <v>16411.25</v>
      </c>
    </row>
    <row r="1004" spans="2:3" x14ac:dyDescent="0.35">
      <c r="B1004" s="517">
        <v>44686</v>
      </c>
      <c r="C1004" s="119">
        <v>16682.650000000001</v>
      </c>
    </row>
    <row r="1005" spans="2:3" x14ac:dyDescent="0.35">
      <c r="B1005" s="517">
        <v>44685</v>
      </c>
      <c r="C1005" s="119">
        <v>16677.599999999999</v>
      </c>
    </row>
    <row r="1006" spans="2:3" x14ac:dyDescent="0.35">
      <c r="B1006" s="517">
        <v>44683</v>
      </c>
      <c r="C1006" s="119">
        <v>17069.099999999999</v>
      </c>
    </row>
    <row r="1007" spans="2:3" x14ac:dyDescent="0.35">
      <c r="B1007" s="517">
        <v>44680</v>
      </c>
      <c r="C1007" s="119">
        <v>17102.55</v>
      </c>
    </row>
    <row r="1008" spans="2:3" x14ac:dyDescent="0.35">
      <c r="B1008" s="517">
        <v>44679</v>
      </c>
      <c r="C1008" s="119">
        <v>17245.05</v>
      </c>
    </row>
    <row r="1009" spans="2:3" x14ac:dyDescent="0.35">
      <c r="B1009" s="517">
        <v>44678</v>
      </c>
      <c r="C1009" s="119">
        <v>17038.400000000001</v>
      </c>
    </row>
    <row r="1010" spans="2:3" x14ac:dyDescent="0.35">
      <c r="B1010" s="517">
        <v>44677</v>
      </c>
      <c r="C1010" s="119">
        <v>17200.8</v>
      </c>
    </row>
    <row r="1011" spans="2:3" x14ac:dyDescent="0.35">
      <c r="B1011" s="517">
        <v>44676</v>
      </c>
      <c r="C1011" s="119">
        <v>16953.95</v>
      </c>
    </row>
    <row r="1012" spans="2:3" x14ac:dyDescent="0.35">
      <c r="B1012" s="517">
        <v>44673</v>
      </c>
      <c r="C1012" s="119">
        <v>17171.95</v>
      </c>
    </row>
    <row r="1013" spans="2:3" x14ac:dyDescent="0.35">
      <c r="B1013" s="517">
        <v>44672</v>
      </c>
      <c r="C1013" s="119">
        <v>17392.599999999999</v>
      </c>
    </row>
    <row r="1014" spans="2:3" x14ac:dyDescent="0.35">
      <c r="B1014" s="517">
        <v>44671</v>
      </c>
      <c r="C1014" s="119">
        <v>17136.55</v>
      </c>
    </row>
    <row r="1015" spans="2:3" x14ac:dyDescent="0.35">
      <c r="B1015" s="517">
        <v>44670</v>
      </c>
      <c r="C1015" s="119">
        <v>16958.650000000001</v>
      </c>
    </row>
    <row r="1016" spans="2:3" x14ac:dyDescent="0.35">
      <c r="B1016" s="517">
        <v>44669</v>
      </c>
      <c r="C1016" s="119">
        <v>17173.650000000001</v>
      </c>
    </row>
    <row r="1017" spans="2:3" x14ac:dyDescent="0.35">
      <c r="B1017" s="517">
        <v>44664</v>
      </c>
      <c r="C1017" s="119">
        <v>17475.650000000001</v>
      </c>
    </row>
    <row r="1018" spans="2:3" x14ac:dyDescent="0.35">
      <c r="B1018" s="517">
        <v>44663</v>
      </c>
      <c r="C1018" s="119">
        <v>17530.3</v>
      </c>
    </row>
    <row r="1019" spans="2:3" x14ac:dyDescent="0.35">
      <c r="B1019" s="517">
        <v>44662</v>
      </c>
      <c r="C1019" s="119">
        <v>17674.95</v>
      </c>
    </row>
    <row r="1020" spans="2:3" x14ac:dyDescent="0.35">
      <c r="B1020" s="517">
        <v>44659</v>
      </c>
      <c r="C1020" s="119">
        <v>17784.349999999999</v>
      </c>
    </row>
    <row r="1021" spans="2:3" x14ac:dyDescent="0.35">
      <c r="B1021" s="517">
        <v>44658</v>
      </c>
      <c r="C1021" s="119">
        <v>17639.55</v>
      </c>
    </row>
    <row r="1022" spans="2:3" x14ac:dyDescent="0.35">
      <c r="B1022" s="517">
        <v>44657</v>
      </c>
      <c r="C1022" s="119">
        <v>17807.650000000001</v>
      </c>
    </row>
    <row r="1023" spans="2:3" x14ac:dyDescent="0.35">
      <c r="B1023" s="517">
        <v>44656</v>
      </c>
      <c r="C1023" s="119">
        <v>17957.400000000001</v>
      </c>
    </row>
    <row r="1024" spans="2:3" x14ac:dyDescent="0.35">
      <c r="B1024" s="517">
        <v>44655</v>
      </c>
      <c r="C1024" s="119">
        <v>18053.400000000001</v>
      </c>
    </row>
    <row r="1025" spans="2:3" x14ac:dyDescent="0.35">
      <c r="B1025" s="517">
        <v>44652</v>
      </c>
      <c r="C1025" s="119">
        <v>17670.45</v>
      </c>
    </row>
    <row r="1026" spans="2:3" x14ac:dyDescent="0.35">
      <c r="B1026" s="517">
        <v>44651</v>
      </c>
      <c r="C1026" s="119">
        <v>17464.75</v>
      </c>
    </row>
    <row r="1027" spans="2:3" x14ac:dyDescent="0.35">
      <c r="B1027" s="517">
        <v>44650</v>
      </c>
      <c r="C1027" s="119">
        <v>17498.25</v>
      </c>
    </row>
    <row r="1028" spans="2:3" x14ac:dyDescent="0.35">
      <c r="B1028" s="517">
        <v>44649</v>
      </c>
      <c r="C1028" s="119">
        <v>17325.3</v>
      </c>
    </row>
    <row r="1029" spans="2:3" x14ac:dyDescent="0.35">
      <c r="B1029" s="517">
        <v>44648</v>
      </c>
      <c r="C1029" s="119">
        <v>17222</v>
      </c>
    </row>
    <row r="1030" spans="2:3" x14ac:dyDescent="0.35">
      <c r="B1030" s="517">
        <v>44645</v>
      </c>
      <c r="C1030" s="119">
        <v>17153</v>
      </c>
    </row>
    <row r="1031" spans="2:3" x14ac:dyDescent="0.35">
      <c r="B1031" s="517">
        <v>44644</v>
      </c>
      <c r="C1031" s="119">
        <v>17222.75</v>
      </c>
    </row>
    <row r="1032" spans="2:3" x14ac:dyDescent="0.35">
      <c r="B1032" s="517">
        <v>44643</v>
      </c>
      <c r="C1032" s="119">
        <v>17245.650000000001</v>
      </c>
    </row>
    <row r="1033" spans="2:3" x14ac:dyDescent="0.35">
      <c r="B1033" s="517">
        <v>44642</v>
      </c>
      <c r="C1033" s="119">
        <v>17315.5</v>
      </c>
    </row>
    <row r="1034" spans="2:3" x14ac:dyDescent="0.35">
      <c r="B1034" s="517">
        <v>44641</v>
      </c>
      <c r="C1034" s="119">
        <v>17117.599999999999</v>
      </c>
    </row>
    <row r="1035" spans="2:3" x14ac:dyDescent="0.35">
      <c r="B1035" s="517">
        <v>44637</v>
      </c>
      <c r="C1035" s="119">
        <v>17287.05</v>
      </c>
    </row>
    <row r="1036" spans="2:3" x14ac:dyDescent="0.35">
      <c r="B1036" s="517">
        <v>44636</v>
      </c>
      <c r="C1036" s="119">
        <v>16975.349999999999</v>
      </c>
    </row>
    <row r="1037" spans="2:3" x14ac:dyDescent="0.35">
      <c r="B1037" s="517">
        <v>44635</v>
      </c>
      <c r="C1037" s="119">
        <v>16663</v>
      </c>
    </row>
    <row r="1038" spans="2:3" x14ac:dyDescent="0.35">
      <c r="B1038" s="517">
        <v>44634</v>
      </c>
      <c r="C1038" s="119">
        <v>16871.3</v>
      </c>
    </row>
    <row r="1039" spans="2:3" x14ac:dyDescent="0.35">
      <c r="B1039" s="517">
        <v>44631</v>
      </c>
      <c r="C1039" s="119">
        <v>16630.45</v>
      </c>
    </row>
    <row r="1040" spans="2:3" x14ac:dyDescent="0.35">
      <c r="B1040" s="517">
        <v>44630</v>
      </c>
      <c r="C1040" s="119">
        <v>16594.900000000001</v>
      </c>
    </row>
    <row r="1041" spans="2:3" x14ac:dyDescent="0.35">
      <c r="B1041" s="517">
        <v>44629</v>
      </c>
      <c r="C1041" s="119">
        <v>16345.35</v>
      </c>
    </row>
    <row r="1042" spans="2:3" x14ac:dyDescent="0.35">
      <c r="B1042" s="517">
        <v>44628</v>
      </c>
      <c r="C1042" s="119">
        <v>16013.45</v>
      </c>
    </row>
    <row r="1043" spans="2:3" x14ac:dyDescent="0.35">
      <c r="B1043" s="517">
        <v>44627</v>
      </c>
      <c r="C1043" s="119">
        <v>15863.15</v>
      </c>
    </row>
    <row r="1044" spans="2:3" x14ac:dyDescent="0.35">
      <c r="B1044" s="517">
        <v>44624</v>
      </c>
      <c r="C1044" s="119">
        <v>16245.35</v>
      </c>
    </row>
    <row r="1045" spans="2:3" x14ac:dyDescent="0.35">
      <c r="B1045" s="517">
        <v>44623</v>
      </c>
      <c r="C1045" s="119">
        <v>16498.05</v>
      </c>
    </row>
    <row r="1046" spans="2:3" x14ac:dyDescent="0.35">
      <c r="B1046" s="517">
        <v>44622</v>
      </c>
      <c r="C1046" s="119">
        <v>16605.95</v>
      </c>
    </row>
    <row r="1047" spans="2:3" x14ac:dyDescent="0.35">
      <c r="B1047" s="517">
        <v>44620</v>
      </c>
      <c r="C1047" s="119">
        <v>16793.900000000001</v>
      </c>
    </row>
    <row r="1048" spans="2:3" x14ac:dyDescent="0.35">
      <c r="B1048" s="517">
        <v>44617</v>
      </c>
      <c r="C1048" s="119">
        <v>16658.400000000001</v>
      </c>
    </row>
    <row r="1049" spans="2:3" x14ac:dyDescent="0.35">
      <c r="B1049" s="517">
        <v>44616</v>
      </c>
      <c r="C1049" s="119">
        <v>16247.95</v>
      </c>
    </row>
    <row r="1050" spans="2:3" x14ac:dyDescent="0.35">
      <c r="B1050" s="517">
        <v>44615</v>
      </c>
      <c r="C1050" s="119">
        <v>17063.25</v>
      </c>
    </row>
    <row r="1051" spans="2:3" x14ac:dyDescent="0.35">
      <c r="B1051" s="517">
        <v>44614</v>
      </c>
      <c r="C1051" s="119">
        <v>17092.2</v>
      </c>
    </row>
    <row r="1052" spans="2:3" x14ac:dyDescent="0.35">
      <c r="B1052" s="517">
        <v>44613</v>
      </c>
      <c r="C1052" s="119">
        <v>17206.650000000001</v>
      </c>
    </row>
    <row r="1053" spans="2:3" x14ac:dyDescent="0.35">
      <c r="B1053" s="517">
        <v>44610</v>
      </c>
      <c r="C1053" s="119">
        <v>17276.3</v>
      </c>
    </row>
    <row r="1054" spans="2:3" x14ac:dyDescent="0.35">
      <c r="B1054" s="517">
        <v>44609</v>
      </c>
      <c r="C1054" s="119">
        <v>17304.599999999999</v>
      </c>
    </row>
    <row r="1055" spans="2:3" x14ac:dyDescent="0.35">
      <c r="B1055" s="517">
        <v>44608</v>
      </c>
      <c r="C1055" s="119">
        <v>17322.2</v>
      </c>
    </row>
    <row r="1056" spans="2:3" x14ac:dyDescent="0.35">
      <c r="B1056" s="517">
        <v>44607</v>
      </c>
      <c r="C1056" s="119">
        <v>17352.45</v>
      </c>
    </row>
    <row r="1057" spans="2:3" x14ac:dyDescent="0.35">
      <c r="B1057" s="517">
        <v>44606</v>
      </c>
      <c r="C1057" s="119">
        <v>16842.8</v>
      </c>
    </row>
    <row r="1058" spans="2:3" x14ac:dyDescent="0.35">
      <c r="B1058" s="517">
        <v>44603</v>
      </c>
      <c r="C1058" s="119">
        <v>17374.75</v>
      </c>
    </row>
    <row r="1059" spans="2:3" x14ac:dyDescent="0.35">
      <c r="B1059" s="517">
        <v>44602</v>
      </c>
      <c r="C1059" s="119">
        <v>17605.849999999999</v>
      </c>
    </row>
    <row r="1060" spans="2:3" x14ac:dyDescent="0.35">
      <c r="B1060" s="517">
        <v>44601</v>
      </c>
      <c r="C1060" s="119">
        <v>17463.8</v>
      </c>
    </row>
    <row r="1061" spans="2:3" x14ac:dyDescent="0.35">
      <c r="B1061" s="517">
        <v>44600</v>
      </c>
      <c r="C1061" s="119">
        <v>17266.75</v>
      </c>
    </row>
    <row r="1062" spans="2:3" x14ac:dyDescent="0.35">
      <c r="B1062" s="517">
        <v>44599</v>
      </c>
      <c r="C1062" s="119">
        <v>17213.599999999999</v>
      </c>
    </row>
    <row r="1063" spans="2:3" x14ac:dyDescent="0.35">
      <c r="B1063" s="517">
        <v>44596</v>
      </c>
      <c r="C1063" s="119">
        <v>17516.3</v>
      </c>
    </row>
    <row r="1064" spans="2:3" x14ac:dyDescent="0.35">
      <c r="B1064" s="517">
        <v>44595</v>
      </c>
      <c r="C1064" s="119">
        <v>17560.2</v>
      </c>
    </row>
    <row r="1065" spans="2:3" x14ac:dyDescent="0.35">
      <c r="B1065" s="517">
        <v>44594</v>
      </c>
      <c r="C1065" s="119">
        <v>17780</v>
      </c>
    </row>
    <row r="1066" spans="2:3" x14ac:dyDescent="0.35">
      <c r="B1066" s="517">
        <v>44593</v>
      </c>
      <c r="C1066" s="119">
        <v>17576.849999999999</v>
      </c>
    </row>
    <row r="1067" spans="2:3" x14ac:dyDescent="0.35">
      <c r="B1067" s="517">
        <v>44592</v>
      </c>
      <c r="C1067" s="119">
        <v>17339.849999999999</v>
      </c>
    </row>
    <row r="1068" spans="2:3" x14ac:dyDescent="0.35">
      <c r="B1068" s="517">
        <v>44589</v>
      </c>
      <c r="C1068" s="119">
        <v>17101.95</v>
      </c>
    </row>
    <row r="1069" spans="2:3" x14ac:dyDescent="0.35">
      <c r="B1069" s="517">
        <v>44588</v>
      </c>
      <c r="C1069" s="119">
        <v>17110.150000000001</v>
      </c>
    </row>
    <row r="1070" spans="2:3" x14ac:dyDescent="0.35">
      <c r="B1070" s="517">
        <v>44586</v>
      </c>
      <c r="C1070" s="119">
        <v>17277.95</v>
      </c>
    </row>
    <row r="1071" spans="2:3" x14ac:dyDescent="0.35">
      <c r="B1071" s="517">
        <v>44585</v>
      </c>
      <c r="C1071" s="119">
        <v>17149.099999999999</v>
      </c>
    </row>
    <row r="1072" spans="2:3" x14ac:dyDescent="0.35">
      <c r="B1072" s="517">
        <v>44582</v>
      </c>
      <c r="C1072" s="119">
        <v>17617.150000000001</v>
      </c>
    </row>
    <row r="1073" spans="2:3" x14ac:dyDescent="0.35">
      <c r="B1073" s="517">
        <v>44581</v>
      </c>
      <c r="C1073" s="119">
        <v>17757</v>
      </c>
    </row>
    <row r="1074" spans="2:3" x14ac:dyDescent="0.35">
      <c r="B1074" s="517">
        <v>44580</v>
      </c>
      <c r="C1074" s="119">
        <v>17938.400000000001</v>
      </c>
    </row>
    <row r="1075" spans="2:3" x14ac:dyDescent="0.35">
      <c r="B1075" s="517">
        <v>44579</v>
      </c>
      <c r="C1075" s="119">
        <v>18113.05</v>
      </c>
    </row>
    <row r="1076" spans="2:3" x14ac:dyDescent="0.35">
      <c r="B1076" s="517">
        <v>44578</v>
      </c>
      <c r="C1076" s="119">
        <v>18308.099999999999</v>
      </c>
    </row>
    <row r="1077" spans="2:3" x14ac:dyDescent="0.35">
      <c r="B1077" s="517">
        <v>44575</v>
      </c>
      <c r="C1077" s="119">
        <v>18255.75</v>
      </c>
    </row>
    <row r="1078" spans="2:3" x14ac:dyDescent="0.35">
      <c r="B1078" s="517">
        <v>44574</v>
      </c>
      <c r="C1078" s="119">
        <v>18257.8</v>
      </c>
    </row>
    <row r="1079" spans="2:3" x14ac:dyDescent="0.35">
      <c r="B1079" s="517">
        <v>44573</v>
      </c>
      <c r="C1079" s="119">
        <v>18212.349999999999</v>
      </c>
    </row>
    <row r="1080" spans="2:3" x14ac:dyDescent="0.35">
      <c r="B1080" s="517">
        <v>44572</v>
      </c>
      <c r="C1080" s="119">
        <v>18055.75</v>
      </c>
    </row>
    <row r="1081" spans="2:3" x14ac:dyDescent="0.35">
      <c r="B1081" s="517">
        <v>44571</v>
      </c>
      <c r="C1081" s="119">
        <v>18003.3</v>
      </c>
    </row>
    <row r="1082" spans="2:3" x14ac:dyDescent="0.35">
      <c r="B1082" s="517">
        <v>44568</v>
      </c>
      <c r="C1082" s="119">
        <v>17812.7</v>
      </c>
    </row>
    <row r="1083" spans="2:3" x14ac:dyDescent="0.35">
      <c r="B1083" s="517">
        <v>44567</v>
      </c>
      <c r="C1083" s="119">
        <v>17745.900000000001</v>
      </c>
    </row>
    <row r="1084" spans="2:3" x14ac:dyDescent="0.35">
      <c r="B1084" s="517">
        <v>44566</v>
      </c>
      <c r="C1084" s="119">
        <v>17925.25</v>
      </c>
    </row>
    <row r="1085" spans="2:3" x14ac:dyDescent="0.35">
      <c r="B1085" s="517">
        <v>44565</v>
      </c>
      <c r="C1085" s="119">
        <v>17805.25</v>
      </c>
    </row>
    <row r="1086" spans="2:3" x14ac:dyDescent="0.35">
      <c r="B1086" s="517">
        <v>44564</v>
      </c>
      <c r="C1086" s="119">
        <v>17625.7</v>
      </c>
    </row>
    <row r="1087" spans="2:3" x14ac:dyDescent="0.35">
      <c r="B1087" s="517">
        <v>44561</v>
      </c>
      <c r="C1087" s="119">
        <v>17354.05</v>
      </c>
    </row>
    <row r="1088" spans="2:3" x14ac:dyDescent="0.35">
      <c r="B1088" s="517">
        <v>44560</v>
      </c>
      <c r="C1088" s="119">
        <v>17203.95</v>
      </c>
    </row>
    <row r="1089" spans="2:3" x14ac:dyDescent="0.35">
      <c r="B1089" s="517">
        <v>44559</v>
      </c>
      <c r="C1089" s="119">
        <v>17213.599999999999</v>
      </c>
    </row>
    <row r="1090" spans="2:3" x14ac:dyDescent="0.35">
      <c r="B1090" s="517">
        <v>44558</v>
      </c>
      <c r="C1090" s="119">
        <v>17233.25</v>
      </c>
    </row>
    <row r="1091" spans="2:3" x14ac:dyDescent="0.35">
      <c r="B1091" s="517">
        <v>44557</v>
      </c>
      <c r="C1091" s="119">
        <v>17086.25</v>
      </c>
    </row>
    <row r="1092" spans="2:3" x14ac:dyDescent="0.35">
      <c r="B1092" s="517">
        <v>44554</v>
      </c>
      <c r="C1092" s="119">
        <v>17003.75</v>
      </c>
    </row>
    <row r="1093" spans="2:3" x14ac:dyDescent="0.35">
      <c r="B1093" s="517">
        <v>44553</v>
      </c>
      <c r="C1093" s="119">
        <v>17072.599999999999</v>
      </c>
    </row>
    <row r="1094" spans="2:3" x14ac:dyDescent="0.35">
      <c r="B1094" s="517">
        <v>44552</v>
      </c>
      <c r="C1094" s="119">
        <v>16955.45</v>
      </c>
    </row>
    <row r="1095" spans="2:3" x14ac:dyDescent="0.35">
      <c r="B1095" s="517">
        <v>44551</v>
      </c>
      <c r="C1095" s="119">
        <v>16770.849999999999</v>
      </c>
    </row>
    <row r="1096" spans="2:3" x14ac:dyDescent="0.35">
      <c r="B1096" s="517">
        <v>44550</v>
      </c>
      <c r="C1096" s="119">
        <v>16614.2</v>
      </c>
    </row>
    <row r="1097" spans="2:3" x14ac:dyDescent="0.35">
      <c r="B1097" s="517">
        <v>44547</v>
      </c>
      <c r="C1097" s="119">
        <v>16985.2</v>
      </c>
    </row>
    <row r="1098" spans="2:3" x14ac:dyDescent="0.35">
      <c r="B1098" s="517">
        <v>44546</v>
      </c>
      <c r="C1098" s="119">
        <v>17248.400000000001</v>
      </c>
    </row>
    <row r="1099" spans="2:3" x14ac:dyDescent="0.35">
      <c r="B1099" s="517">
        <v>44545</v>
      </c>
      <c r="C1099" s="119">
        <v>17221.400000000001</v>
      </c>
    </row>
    <row r="1100" spans="2:3" x14ac:dyDescent="0.35">
      <c r="B1100" s="517">
        <v>44544</v>
      </c>
      <c r="C1100" s="119">
        <v>17324.900000000001</v>
      </c>
    </row>
    <row r="1101" spans="2:3" x14ac:dyDescent="0.35">
      <c r="B1101" s="517">
        <v>44543</v>
      </c>
      <c r="C1101" s="119">
        <v>17368.25</v>
      </c>
    </row>
    <row r="1102" spans="2:3" x14ac:dyDescent="0.35">
      <c r="B1102" s="517">
        <v>44540</v>
      </c>
      <c r="C1102" s="119">
        <v>17511.3</v>
      </c>
    </row>
    <row r="1103" spans="2:3" x14ac:dyDescent="0.35">
      <c r="B1103" s="517">
        <v>44539</v>
      </c>
      <c r="C1103" s="119">
        <v>17516.849999999999</v>
      </c>
    </row>
    <row r="1104" spans="2:3" x14ac:dyDescent="0.35">
      <c r="B1104" s="517">
        <v>44538</v>
      </c>
      <c r="C1104" s="119">
        <v>17469.75</v>
      </c>
    </row>
    <row r="1105" spans="2:3" x14ac:dyDescent="0.35">
      <c r="B1105" s="517">
        <v>44537</v>
      </c>
      <c r="C1105" s="119">
        <v>17176.7</v>
      </c>
    </row>
    <row r="1106" spans="2:3" x14ac:dyDescent="0.35">
      <c r="B1106" s="517">
        <v>44536</v>
      </c>
      <c r="C1106" s="119">
        <v>16912.25</v>
      </c>
    </row>
    <row r="1107" spans="2:3" x14ac:dyDescent="0.35">
      <c r="B1107" s="517">
        <v>44533</v>
      </c>
      <c r="C1107" s="119">
        <v>17196.7</v>
      </c>
    </row>
    <row r="1108" spans="2:3" x14ac:dyDescent="0.35">
      <c r="B1108" s="517">
        <v>44532</v>
      </c>
      <c r="C1108" s="119">
        <v>17401.650000000001</v>
      </c>
    </row>
    <row r="1109" spans="2:3" x14ac:dyDescent="0.35">
      <c r="B1109" s="517">
        <v>44531</v>
      </c>
      <c r="C1109" s="119">
        <v>17166.900000000001</v>
      </c>
    </row>
    <row r="1110" spans="2:3" x14ac:dyDescent="0.35">
      <c r="B1110" s="517">
        <v>44530</v>
      </c>
      <c r="C1110" s="119">
        <v>16983.2</v>
      </c>
    </row>
    <row r="1111" spans="2:3" x14ac:dyDescent="0.35">
      <c r="B1111" s="517">
        <v>44529</v>
      </c>
      <c r="C1111" s="119">
        <v>17053.95</v>
      </c>
    </row>
    <row r="1112" spans="2:3" x14ac:dyDescent="0.35">
      <c r="B1112" s="517">
        <v>44526</v>
      </c>
      <c r="C1112" s="119">
        <v>17026.45</v>
      </c>
    </row>
    <row r="1113" spans="2:3" x14ac:dyDescent="0.35">
      <c r="B1113" s="517">
        <v>44525</v>
      </c>
      <c r="C1113" s="119">
        <v>17536.25</v>
      </c>
    </row>
    <row r="1114" spans="2:3" x14ac:dyDescent="0.35">
      <c r="B1114" s="517">
        <v>44524</v>
      </c>
      <c r="C1114" s="119">
        <v>17415.05</v>
      </c>
    </row>
    <row r="1115" spans="2:3" x14ac:dyDescent="0.35">
      <c r="B1115" s="517">
        <v>44523</v>
      </c>
      <c r="C1115" s="119">
        <v>17503.349999999999</v>
      </c>
    </row>
    <row r="1116" spans="2:3" x14ac:dyDescent="0.35">
      <c r="B1116" s="517">
        <v>44522</v>
      </c>
      <c r="C1116" s="119">
        <v>17416.55</v>
      </c>
    </row>
    <row r="1117" spans="2:3" x14ac:dyDescent="0.35">
      <c r="B1117" s="517">
        <v>44518</v>
      </c>
      <c r="C1117" s="119">
        <v>17764.8</v>
      </c>
    </row>
    <row r="1118" spans="2:3" x14ac:dyDescent="0.35">
      <c r="B1118" s="517">
        <v>44517</v>
      </c>
      <c r="C1118" s="119">
        <v>17898.650000000001</v>
      </c>
    </row>
    <row r="1119" spans="2:3" x14ac:dyDescent="0.35">
      <c r="B1119" s="517">
        <v>44516</v>
      </c>
      <c r="C1119" s="119">
        <v>17999.2</v>
      </c>
    </row>
    <row r="1120" spans="2:3" x14ac:dyDescent="0.35">
      <c r="B1120" s="517">
        <v>44515</v>
      </c>
      <c r="C1120" s="119">
        <v>18109.45</v>
      </c>
    </row>
    <row r="1121" spans="2:3" x14ac:dyDescent="0.35">
      <c r="B1121" s="517">
        <v>44512</v>
      </c>
      <c r="C1121" s="119">
        <v>18102.75</v>
      </c>
    </row>
    <row r="1122" spans="2:3" x14ac:dyDescent="0.35">
      <c r="B1122" s="517">
        <v>44511</v>
      </c>
      <c r="C1122" s="119">
        <v>17873.599999999999</v>
      </c>
    </row>
    <row r="1123" spans="2:3" x14ac:dyDescent="0.35">
      <c r="B1123" s="517">
        <v>44510</v>
      </c>
      <c r="C1123" s="119">
        <v>18017.2</v>
      </c>
    </row>
    <row r="1124" spans="2:3" x14ac:dyDescent="0.35">
      <c r="B1124" s="517">
        <v>44509</v>
      </c>
      <c r="C1124" s="119">
        <v>18044.25</v>
      </c>
    </row>
    <row r="1125" spans="2:3" x14ac:dyDescent="0.35">
      <c r="B1125" s="517">
        <v>44508</v>
      </c>
      <c r="C1125" s="119">
        <v>18068.55</v>
      </c>
    </row>
    <row r="1126" spans="2:3" x14ac:dyDescent="0.35">
      <c r="B1126" s="517">
        <v>44504</v>
      </c>
      <c r="C1126" s="119">
        <v>17916.8</v>
      </c>
    </row>
    <row r="1127" spans="2:3" x14ac:dyDescent="0.35">
      <c r="B1127" s="517">
        <v>44503</v>
      </c>
      <c r="C1127" s="119">
        <v>17829.2</v>
      </c>
    </row>
    <row r="1128" spans="2:3" x14ac:dyDescent="0.35">
      <c r="B1128" s="517">
        <v>44502</v>
      </c>
      <c r="C1128" s="119">
        <v>17888.95</v>
      </c>
    </row>
    <row r="1129" spans="2:3" x14ac:dyDescent="0.35">
      <c r="B1129" s="517">
        <v>44501</v>
      </c>
      <c r="C1129" s="119">
        <v>17929.650000000001</v>
      </c>
    </row>
    <row r="1130" spans="2:3" x14ac:dyDescent="0.35">
      <c r="B1130" s="517">
        <v>44498</v>
      </c>
      <c r="C1130" s="119">
        <v>17671.650000000001</v>
      </c>
    </row>
    <row r="1131" spans="2:3" x14ac:dyDescent="0.35">
      <c r="B1131" s="517">
        <v>44497</v>
      </c>
      <c r="C1131" s="119">
        <v>17857.25</v>
      </c>
    </row>
    <row r="1132" spans="2:3" x14ac:dyDescent="0.35">
      <c r="B1132" s="517">
        <v>44496</v>
      </c>
      <c r="C1132" s="119">
        <v>18210.95</v>
      </c>
    </row>
    <row r="1133" spans="2:3" x14ac:dyDescent="0.35">
      <c r="B1133" s="517">
        <v>44495</v>
      </c>
      <c r="C1133" s="119">
        <v>18268.400000000001</v>
      </c>
    </row>
    <row r="1134" spans="2:3" x14ac:dyDescent="0.35">
      <c r="B1134" s="517">
        <v>44494</v>
      </c>
      <c r="C1134" s="119">
        <v>18125.400000000001</v>
      </c>
    </row>
    <row r="1135" spans="2:3" x14ac:dyDescent="0.35">
      <c r="B1135" s="517">
        <v>44491</v>
      </c>
      <c r="C1135" s="119">
        <v>18114.900000000001</v>
      </c>
    </row>
    <row r="1136" spans="2:3" x14ac:dyDescent="0.35">
      <c r="B1136" s="517">
        <v>44490</v>
      </c>
      <c r="C1136" s="119">
        <v>18178.099999999999</v>
      </c>
    </row>
    <row r="1137" spans="2:3" x14ac:dyDescent="0.35">
      <c r="B1137" s="517">
        <v>44489</v>
      </c>
      <c r="C1137" s="119">
        <v>18266.599999999999</v>
      </c>
    </row>
    <row r="1138" spans="2:3" x14ac:dyDescent="0.35">
      <c r="B1138" s="517">
        <v>44488</v>
      </c>
      <c r="C1138" s="119">
        <v>18418.75</v>
      </c>
    </row>
    <row r="1139" spans="2:3" x14ac:dyDescent="0.35">
      <c r="B1139" s="517">
        <v>44487</v>
      </c>
      <c r="C1139" s="119">
        <v>18477.05</v>
      </c>
    </row>
    <row r="1140" spans="2:3" x14ac:dyDescent="0.35">
      <c r="B1140" s="517">
        <v>44483</v>
      </c>
      <c r="C1140" s="119">
        <v>18338.55</v>
      </c>
    </row>
    <row r="1141" spans="2:3" x14ac:dyDescent="0.35">
      <c r="B1141" s="517">
        <v>44482</v>
      </c>
      <c r="C1141" s="119">
        <v>18161.75</v>
      </c>
    </row>
    <row r="1142" spans="2:3" x14ac:dyDescent="0.35">
      <c r="B1142" s="517">
        <v>44481</v>
      </c>
      <c r="C1142" s="119">
        <v>17991.95</v>
      </c>
    </row>
    <row r="1143" spans="2:3" x14ac:dyDescent="0.35">
      <c r="B1143" s="517">
        <v>44480</v>
      </c>
      <c r="C1143" s="119">
        <v>17945.95</v>
      </c>
    </row>
    <row r="1144" spans="2:3" x14ac:dyDescent="0.35">
      <c r="B1144" s="517">
        <v>44477</v>
      </c>
      <c r="C1144" s="119">
        <v>17895.2</v>
      </c>
    </row>
    <row r="1145" spans="2:3" x14ac:dyDescent="0.35">
      <c r="B1145" s="517">
        <v>44476</v>
      </c>
      <c r="C1145" s="119">
        <v>17790.349999999999</v>
      </c>
    </row>
    <row r="1146" spans="2:3" x14ac:dyDescent="0.35">
      <c r="B1146" s="517">
        <v>44475</v>
      </c>
      <c r="C1146" s="119">
        <v>17646</v>
      </c>
    </row>
    <row r="1147" spans="2:3" x14ac:dyDescent="0.35">
      <c r="B1147" s="517">
        <v>44474</v>
      </c>
      <c r="C1147" s="119">
        <v>17822.3</v>
      </c>
    </row>
    <row r="1148" spans="2:3" x14ac:dyDescent="0.35">
      <c r="B1148" s="517">
        <v>44473</v>
      </c>
      <c r="C1148" s="119">
        <v>17691.25</v>
      </c>
    </row>
    <row r="1149" spans="2:3" x14ac:dyDescent="0.35">
      <c r="B1149" s="517">
        <v>44470</v>
      </c>
      <c r="C1149" s="119">
        <v>17532.05</v>
      </c>
    </row>
    <row r="1150" spans="2:3" x14ac:dyDescent="0.35">
      <c r="B1150" s="517">
        <v>44469</v>
      </c>
      <c r="C1150" s="119">
        <v>17618.150000000001</v>
      </c>
    </row>
    <row r="1151" spans="2:3" x14ac:dyDescent="0.35">
      <c r="B1151" s="517">
        <v>44468</v>
      </c>
      <c r="C1151" s="119">
        <v>17711.3</v>
      </c>
    </row>
    <row r="1152" spans="2:3" x14ac:dyDescent="0.35">
      <c r="B1152" s="517">
        <v>44467</v>
      </c>
      <c r="C1152" s="119">
        <v>17748.599999999999</v>
      </c>
    </row>
    <row r="1153" spans="2:3" x14ac:dyDescent="0.35">
      <c r="B1153" s="517">
        <v>44466</v>
      </c>
      <c r="C1153" s="119">
        <v>17855.099999999999</v>
      </c>
    </row>
    <row r="1154" spans="2:3" x14ac:dyDescent="0.35">
      <c r="B1154" s="517">
        <v>44463</v>
      </c>
      <c r="C1154" s="119">
        <v>17853.2</v>
      </c>
    </row>
    <row r="1155" spans="2:3" x14ac:dyDescent="0.35">
      <c r="B1155" s="517">
        <v>44462</v>
      </c>
      <c r="C1155" s="119">
        <v>17822.95</v>
      </c>
    </row>
    <row r="1156" spans="2:3" x14ac:dyDescent="0.35">
      <c r="B1156" s="517">
        <v>44461</v>
      </c>
      <c r="C1156" s="119">
        <v>17546.650000000001</v>
      </c>
    </row>
    <row r="1157" spans="2:3" x14ac:dyDescent="0.35">
      <c r="B1157" s="517">
        <v>44460</v>
      </c>
      <c r="C1157" s="119">
        <v>17562</v>
      </c>
    </row>
    <row r="1158" spans="2:3" x14ac:dyDescent="0.35">
      <c r="B1158" s="517">
        <v>44459</v>
      </c>
      <c r="C1158" s="119">
        <v>17396.900000000001</v>
      </c>
    </row>
    <row r="1159" spans="2:3" x14ac:dyDescent="0.35">
      <c r="B1159" s="517">
        <v>44456</v>
      </c>
      <c r="C1159" s="119">
        <v>17585.150000000001</v>
      </c>
    </row>
    <row r="1160" spans="2:3" x14ac:dyDescent="0.35">
      <c r="B1160" s="517">
        <v>44455</v>
      </c>
      <c r="C1160" s="119">
        <v>17629.5</v>
      </c>
    </row>
    <row r="1161" spans="2:3" x14ac:dyDescent="0.35">
      <c r="B1161" s="517">
        <v>44454</v>
      </c>
      <c r="C1161" s="119">
        <v>17519.45</v>
      </c>
    </row>
    <row r="1162" spans="2:3" x14ac:dyDescent="0.35">
      <c r="B1162" s="517">
        <v>44453</v>
      </c>
      <c r="C1162" s="119">
        <v>17380</v>
      </c>
    </row>
    <row r="1163" spans="2:3" x14ac:dyDescent="0.35">
      <c r="B1163" s="517">
        <v>44452</v>
      </c>
      <c r="C1163" s="119">
        <v>17355.3</v>
      </c>
    </row>
    <row r="1164" spans="2:3" x14ac:dyDescent="0.35">
      <c r="B1164" s="517">
        <v>44448</v>
      </c>
      <c r="C1164" s="119">
        <v>17369.25</v>
      </c>
    </row>
    <row r="1165" spans="2:3" x14ac:dyDescent="0.35">
      <c r="B1165" s="517">
        <v>44447</v>
      </c>
      <c r="C1165" s="119">
        <v>17353.5</v>
      </c>
    </row>
    <row r="1166" spans="2:3" x14ac:dyDescent="0.35">
      <c r="B1166" s="517">
        <v>44446</v>
      </c>
      <c r="C1166" s="119">
        <v>17362.099999999999</v>
      </c>
    </row>
    <row r="1167" spans="2:3" x14ac:dyDescent="0.35">
      <c r="B1167" s="517">
        <v>44445</v>
      </c>
      <c r="C1167" s="119">
        <v>17377.8</v>
      </c>
    </row>
    <row r="1168" spans="2:3" x14ac:dyDescent="0.35">
      <c r="B1168" s="517">
        <v>44442</v>
      </c>
      <c r="C1168" s="119">
        <v>17323.599999999999</v>
      </c>
    </row>
    <row r="1169" spans="2:3" x14ac:dyDescent="0.35">
      <c r="B1169" s="517">
        <v>44441</v>
      </c>
      <c r="C1169" s="119">
        <v>17234.150000000001</v>
      </c>
    </row>
    <row r="1170" spans="2:3" x14ac:dyDescent="0.35">
      <c r="B1170" s="517">
        <v>44440</v>
      </c>
      <c r="C1170" s="119">
        <v>17076.25</v>
      </c>
    </row>
    <row r="1171" spans="2:3" x14ac:dyDescent="0.35">
      <c r="B1171" s="517">
        <v>44439</v>
      </c>
      <c r="C1171" s="119">
        <v>17132.2</v>
      </c>
    </row>
    <row r="1172" spans="2:3" x14ac:dyDescent="0.35">
      <c r="B1172" s="517">
        <v>44438</v>
      </c>
      <c r="C1172" s="119">
        <v>16931.05</v>
      </c>
    </row>
    <row r="1173" spans="2:3" x14ac:dyDescent="0.35">
      <c r="B1173" s="517">
        <v>44435</v>
      </c>
      <c r="C1173" s="119">
        <v>16705.2</v>
      </c>
    </row>
    <row r="1174" spans="2:3" x14ac:dyDescent="0.35">
      <c r="B1174" s="517">
        <v>44434</v>
      </c>
      <c r="C1174" s="119">
        <v>16636.900000000001</v>
      </c>
    </row>
    <row r="1175" spans="2:3" x14ac:dyDescent="0.35">
      <c r="B1175" s="517">
        <v>44433</v>
      </c>
      <c r="C1175" s="119">
        <v>16634.650000000001</v>
      </c>
    </row>
    <row r="1176" spans="2:3" x14ac:dyDescent="0.35">
      <c r="B1176" s="517">
        <v>44432</v>
      </c>
      <c r="C1176" s="119">
        <v>16624.599999999999</v>
      </c>
    </row>
    <row r="1177" spans="2:3" x14ac:dyDescent="0.35">
      <c r="B1177" s="517">
        <v>44431</v>
      </c>
      <c r="C1177" s="119">
        <v>16496.45</v>
      </c>
    </row>
    <row r="1178" spans="2:3" x14ac:dyDescent="0.35">
      <c r="B1178" s="517">
        <v>44428</v>
      </c>
      <c r="C1178" s="119">
        <v>16450.5</v>
      </c>
    </row>
    <row r="1179" spans="2:3" x14ac:dyDescent="0.35">
      <c r="B1179" s="517">
        <v>44426</v>
      </c>
      <c r="C1179" s="119">
        <v>16568.849999999999</v>
      </c>
    </row>
    <row r="1180" spans="2:3" x14ac:dyDescent="0.35">
      <c r="B1180" s="517">
        <v>44425</v>
      </c>
      <c r="C1180" s="119">
        <v>16614.599999999999</v>
      </c>
    </row>
    <row r="1181" spans="2:3" x14ac:dyDescent="0.35">
      <c r="B1181" s="517">
        <v>44424</v>
      </c>
      <c r="C1181" s="119">
        <v>16563.05</v>
      </c>
    </row>
    <row r="1182" spans="2:3" x14ac:dyDescent="0.35">
      <c r="B1182" s="517">
        <v>44421</v>
      </c>
      <c r="C1182" s="119">
        <v>16529.099999999999</v>
      </c>
    </row>
    <row r="1183" spans="2:3" x14ac:dyDescent="0.35">
      <c r="B1183" s="517">
        <v>44420</v>
      </c>
      <c r="C1183" s="119">
        <v>16364.4</v>
      </c>
    </row>
    <row r="1184" spans="2:3" x14ac:dyDescent="0.35">
      <c r="B1184" s="517">
        <v>44419</v>
      </c>
      <c r="C1184" s="119">
        <v>16282.25</v>
      </c>
    </row>
    <row r="1185" spans="2:3" x14ac:dyDescent="0.35">
      <c r="B1185" s="517">
        <v>44418</v>
      </c>
      <c r="C1185" s="119">
        <v>16280.1</v>
      </c>
    </row>
    <row r="1186" spans="2:3" x14ac:dyDescent="0.35">
      <c r="B1186" s="517">
        <v>44417</v>
      </c>
      <c r="C1186" s="119">
        <v>16258.25</v>
      </c>
    </row>
    <row r="1187" spans="2:3" x14ac:dyDescent="0.35">
      <c r="B1187" s="517">
        <v>44414</v>
      </c>
      <c r="C1187" s="119">
        <v>16238.2</v>
      </c>
    </row>
    <row r="1188" spans="2:3" x14ac:dyDescent="0.35">
      <c r="B1188" s="517">
        <v>44413</v>
      </c>
      <c r="C1188" s="119">
        <v>16294.6</v>
      </c>
    </row>
    <row r="1189" spans="2:3" x14ac:dyDescent="0.35">
      <c r="B1189" s="517">
        <v>44412</v>
      </c>
      <c r="C1189" s="119">
        <v>16258.8</v>
      </c>
    </row>
    <row r="1190" spans="2:3" x14ac:dyDescent="0.35">
      <c r="B1190" s="517">
        <v>44411</v>
      </c>
      <c r="C1190" s="119">
        <v>16130.75</v>
      </c>
    </row>
    <row r="1191" spans="2:3" x14ac:dyDescent="0.35">
      <c r="B1191" s="517">
        <v>44410</v>
      </c>
      <c r="C1191" s="119">
        <v>15885.15</v>
      </c>
    </row>
    <row r="1192" spans="2:3" x14ac:dyDescent="0.35">
      <c r="B1192" s="517">
        <v>44407</v>
      </c>
      <c r="C1192" s="119">
        <v>15763.05</v>
      </c>
    </row>
    <row r="1193" spans="2:3" x14ac:dyDescent="0.35">
      <c r="B1193" s="517">
        <v>44406</v>
      </c>
      <c r="C1193" s="119">
        <v>15778.45</v>
      </c>
    </row>
    <row r="1194" spans="2:3" x14ac:dyDescent="0.35">
      <c r="B1194" s="517">
        <v>44405</v>
      </c>
      <c r="C1194" s="119">
        <v>15709.4</v>
      </c>
    </row>
    <row r="1195" spans="2:3" x14ac:dyDescent="0.35">
      <c r="B1195" s="517">
        <v>44404</v>
      </c>
      <c r="C1195" s="119">
        <v>15746.45</v>
      </c>
    </row>
    <row r="1196" spans="2:3" x14ac:dyDescent="0.35">
      <c r="B1196" s="517">
        <v>44403</v>
      </c>
      <c r="C1196" s="119">
        <v>15824.45</v>
      </c>
    </row>
    <row r="1197" spans="2:3" x14ac:dyDescent="0.35">
      <c r="B1197" s="517">
        <v>44400</v>
      </c>
      <c r="C1197" s="119">
        <v>15856.05</v>
      </c>
    </row>
    <row r="1198" spans="2:3" x14ac:dyDescent="0.35">
      <c r="B1198" s="517">
        <v>44399</v>
      </c>
      <c r="C1198" s="119">
        <v>15824.05</v>
      </c>
    </row>
    <row r="1199" spans="2:3" x14ac:dyDescent="0.35">
      <c r="B1199" s="517">
        <v>44397</v>
      </c>
      <c r="C1199" s="119">
        <v>15632.1</v>
      </c>
    </row>
    <row r="1200" spans="2:3" x14ac:dyDescent="0.35">
      <c r="B1200" s="517">
        <v>44396</v>
      </c>
      <c r="C1200" s="119">
        <v>15752.4</v>
      </c>
    </row>
    <row r="1201" spans="2:3" x14ac:dyDescent="0.35">
      <c r="B1201" s="517">
        <v>44393</v>
      </c>
      <c r="C1201" s="119">
        <v>15923.4</v>
      </c>
    </row>
    <row r="1202" spans="2:3" x14ac:dyDescent="0.35">
      <c r="B1202" s="517">
        <v>44392</v>
      </c>
      <c r="C1202" s="119">
        <v>15924.2</v>
      </c>
    </row>
    <row r="1203" spans="2:3" x14ac:dyDescent="0.35">
      <c r="B1203" s="517">
        <v>44391</v>
      </c>
      <c r="C1203" s="119">
        <v>15853.95</v>
      </c>
    </row>
    <row r="1204" spans="2:3" x14ac:dyDescent="0.35">
      <c r="B1204" s="517">
        <v>44390</v>
      </c>
      <c r="C1204" s="119">
        <v>15812.35</v>
      </c>
    </row>
    <row r="1205" spans="2:3" x14ac:dyDescent="0.35">
      <c r="B1205" s="517">
        <v>44389</v>
      </c>
      <c r="C1205" s="119">
        <v>15692.6</v>
      </c>
    </row>
    <row r="1206" spans="2:3" x14ac:dyDescent="0.35">
      <c r="B1206" s="517">
        <v>44386</v>
      </c>
      <c r="C1206" s="119">
        <v>15689.8</v>
      </c>
    </row>
    <row r="1207" spans="2:3" x14ac:dyDescent="0.35">
      <c r="B1207" s="517">
        <v>44385</v>
      </c>
      <c r="C1207" s="119">
        <v>15727.9</v>
      </c>
    </row>
    <row r="1208" spans="2:3" x14ac:dyDescent="0.35">
      <c r="B1208" s="517">
        <v>44384</v>
      </c>
      <c r="C1208" s="119">
        <v>15879.65</v>
      </c>
    </row>
    <row r="1209" spans="2:3" x14ac:dyDescent="0.35">
      <c r="B1209" s="517">
        <v>44383</v>
      </c>
      <c r="C1209" s="119">
        <v>15818.25</v>
      </c>
    </row>
    <row r="1210" spans="2:3" x14ac:dyDescent="0.35">
      <c r="B1210" s="517">
        <v>44382</v>
      </c>
      <c r="C1210" s="119">
        <v>15834.35</v>
      </c>
    </row>
    <row r="1211" spans="2:3" x14ac:dyDescent="0.35">
      <c r="B1211" s="517">
        <v>44379</v>
      </c>
      <c r="C1211" s="119">
        <v>15722.2</v>
      </c>
    </row>
    <row r="1212" spans="2:3" x14ac:dyDescent="0.35">
      <c r="B1212" s="517">
        <v>44378</v>
      </c>
      <c r="C1212" s="119">
        <v>15680</v>
      </c>
    </row>
    <row r="1213" spans="2:3" x14ac:dyDescent="0.35">
      <c r="B1213" s="517">
        <v>44377</v>
      </c>
      <c r="C1213" s="119">
        <v>15721.5</v>
      </c>
    </row>
    <row r="1214" spans="2:3" x14ac:dyDescent="0.35">
      <c r="B1214" s="517">
        <v>44376</v>
      </c>
      <c r="C1214" s="119">
        <v>15748.45</v>
      </c>
    </row>
    <row r="1215" spans="2:3" x14ac:dyDescent="0.35">
      <c r="B1215" s="517">
        <v>44375</v>
      </c>
      <c r="C1215" s="119">
        <v>15814.7</v>
      </c>
    </row>
    <row r="1216" spans="2:3" x14ac:dyDescent="0.35">
      <c r="B1216" s="517">
        <v>44372</v>
      </c>
      <c r="C1216" s="119">
        <v>15860.35</v>
      </c>
    </row>
    <row r="1217" spans="2:3" x14ac:dyDescent="0.35">
      <c r="B1217" s="517">
        <v>44371</v>
      </c>
      <c r="C1217" s="119">
        <v>15790.45</v>
      </c>
    </row>
    <row r="1218" spans="2:3" x14ac:dyDescent="0.35">
      <c r="B1218" s="517">
        <v>44370</v>
      </c>
      <c r="C1218" s="119">
        <v>15686.95</v>
      </c>
    </row>
    <row r="1219" spans="2:3" x14ac:dyDescent="0.35">
      <c r="B1219" s="517">
        <v>44369</v>
      </c>
      <c r="C1219" s="119">
        <v>15772.75</v>
      </c>
    </row>
    <row r="1220" spans="2:3" x14ac:dyDescent="0.35">
      <c r="B1220" s="517">
        <v>44368</v>
      </c>
      <c r="C1220" s="119">
        <v>15746.5</v>
      </c>
    </row>
    <row r="1221" spans="2:3" x14ac:dyDescent="0.35">
      <c r="B1221" s="517">
        <v>44365</v>
      </c>
      <c r="C1221" s="119">
        <v>15683.35</v>
      </c>
    </row>
    <row r="1222" spans="2:3" x14ac:dyDescent="0.35">
      <c r="B1222" s="517">
        <v>44364</v>
      </c>
      <c r="C1222" s="119">
        <v>15691.4</v>
      </c>
    </row>
    <row r="1223" spans="2:3" x14ac:dyDescent="0.35">
      <c r="B1223" s="517">
        <v>44363</v>
      </c>
      <c r="C1223" s="119">
        <v>15767.55</v>
      </c>
    </row>
    <row r="1224" spans="2:3" x14ac:dyDescent="0.35">
      <c r="B1224" s="517">
        <v>44362</v>
      </c>
      <c r="C1224" s="119">
        <v>15869.25</v>
      </c>
    </row>
    <row r="1225" spans="2:3" x14ac:dyDescent="0.35">
      <c r="B1225" s="517">
        <v>44361</v>
      </c>
      <c r="C1225" s="119">
        <v>15811.85</v>
      </c>
    </row>
    <row r="1226" spans="2:3" x14ac:dyDescent="0.35">
      <c r="B1226" s="517">
        <v>44358</v>
      </c>
      <c r="C1226" s="119">
        <v>15799.35</v>
      </c>
    </row>
    <row r="1227" spans="2:3" x14ac:dyDescent="0.35">
      <c r="B1227" s="517">
        <v>44357</v>
      </c>
      <c r="C1227" s="119">
        <v>15737.75</v>
      </c>
    </row>
    <row r="1228" spans="2:3" x14ac:dyDescent="0.35">
      <c r="B1228" s="517">
        <v>44356</v>
      </c>
      <c r="C1228" s="119">
        <v>15635.35</v>
      </c>
    </row>
    <row r="1229" spans="2:3" x14ac:dyDescent="0.35">
      <c r="B1229" s="517">
        <v>44355</v>
      </c>
      <c r="C1229" s="119">
        <v>15740.1</v>
      </c>
    </row>
    <row r="1230" spans="2:3" x14ac:dyDescent="0.35">
      <c r="B1230" s="517">
        <v>44354</v>
      </c>
      <c r="C1230" s="119">
        <v>15751.65</v>
      </c>
    </row>
    <row r="1231" spans="2:3" x14ac:dyDescent="0.35">
      <c r="B1231" s="517">
        <v>44351</v>
      </c>
      <c r="C1231" s="119">
        <v>15670.25</v>
      </c>
    </row>
    <row r="1232" spans="2:3" x14ac:dyDescent="0.35">
      <c r="B1232" s="517">
        <v>44350</v>
      </c>
      <c r="C1232" s="119">
        <v>15690.35</v>
      </c>
    </row>
    <row r="1233" spans="2:3" x14ac:dyDescent="0.35">
      <c r="B1233" s="517">
        <v>44349</v>
      </c>
      <c r="C1233" s="119">
        <v>15576.2</v>
      </c>
    </row>
    <row r="1234" spans="2:3" x14ac:dyDescent="0.35">
      <c r="B1234" s="517">
        <v>44348</v>
      </c>
      <c r="C1234" s="119">
        <v>15574.85</v>
      </c>
    </row>
    <row r="1235" spans="2:3" x14ac:dyDescent="0.35">
      <c r="B1235" s="517">
        <v>44347</v>
      </c>
      <c r="C1235" s="119">
        <v>15582.8</v>
      </c>
    </row>
    <row r="1236" spans="2:3" x14ac:dyDescent="0.35">
      <c r="B1236" s="517">
        <v>44344</v>
      </c>
      <c r="C1236" s="119">
        <v>15435.65</v>
      </c>
    </row>
    <row r="1237" spans="2:3" x14ac:dyDescent="0.35">
      <c r="B1237" s="517">
        <v>44343</v>
      </c>
      <c r="C1237" s="119">
        <v>15337.85</v>
      </c>
    </row>
    <row r="1238" spans="2:3" x14ac:dyDescent="0.35">
      <c r="B1238" s="517">
        <v>44342</v>
      </c>
      <c r="C1238" s="119">
        <v>15301.45</v>
      </c>
    </row>
    <row r="1239" spans="2:3" x14ac:dyDescent="0.35">
      <c r="B1239" s="517">
        <v>44341</v>
      </c>
      <c r="C1239" s="119">
        <v>15208.45</v>
      </c>
    </row>
    <row r="1240" spans="2:3" x14ac:dyDescent="0.35">
      <c r="B1240" s="517">
        <v>44340</v>
      </c>
      <c r="C1240" s="119">
        <v>15197.7</v>
      </c>
    </row>
    <row r="1241" spans="2:3" x14ac:dyDescent="0.35">
      <c r="B1241" s="517">
        <v>44337</v>
      </c>
      <c r="C1241" s="119">
        <v>15175.3</v>
      </c>
    </row>
    <row r="1242" spans="2:3" x14ac:dyDescent="0.35">
      <c r="B1242" s="517">
        <v>44336</v>
      </c>
      <c r="C1242" s="119">
        <v>14906.05</v>
      </c>
    </row>
    <row r="1243" spans="2:3" x14ac:dyDescent="0.35">
      <c r="B1243" s="517">
        <v>44335</v>
      </c>
      <c r="C1243" s="119">
        <v>15030.15</v>
      </c>
    </row>
    <row r="1244" spans="2:3" x14ac:dyDescent="0.35">
      <c r="B1244" s="517">
        <v>44334</v>
      </c>
      <c r="C1244" s="119">
        <v>15108.1</v>
      </c>
    </row>
    <row r="1245" spans="2:3" x14ac:dyDescent="0.35">
      <c r="B1245" s="517">
        <v>44333</v>
      </c>
      <c r="C1245" s="119">
        <v>14923.15</v>
      </c>
    </row>
    <row r="1246" spans="2:3" x14ac:dyDescent="0.35">
      <c r="B1246" s="517">
        <v>44330</v>
      </c>
      <c r="C1246" s="119">
        <v>14677.8</v>
      </c>
    </row>
    <row r="1247" spans="2:3" x14ac:dyDescent="0.35">
      <c r="B1247" s="517">
        <v>44328</v>
      </c>
      <c r="C1247" s="119">
        <v>14696.5</v>
      </c>
    </row>
    <row r="1248" spans="2:3" x14ac:dyDescent="0.35">
      <c r="B1248" s="517">
        <v>44327</v>
      </c>
      <c r="C1248" s="119">
        <v>14850.75</v>
      </c>
    </row>
    <row r="1249" spans="2:3" x14ac:dyDescent="0.35">
      <c r="B1249" s="517">
        <v>44326</v>
      </c>
      <c r="C1249" s="119">
        <v>14942.35</v>
      </c>
    </row>
    <row r="1250" spans="2:3" x14ac:dyDescent="0.35">
      <c r="B1250" s="517">
        <v>44323</v>
      </c>
      <c r="C1250" s="119">
        <v>14823.15</v>
      </c>
    </row>
    <row r="1251" spans="2:3" x14ac:dyDescent="0.35">
      <c r="B1251" s="517">
        <v>44322</v>
      </c>
      <c r="C1251" s="119">
        <v>14724.8</v>
      </c>
    </row>
    <row r="1252" spans="2:3" x14ac:dyDescent="0.35">
      <c r="B1252" s="517">
        <v>44321</v>
      </c>
      <c r="C1252" s="119">
        <v>14617.85</v>
      </c>
    </row>
    <row r="1253" spans="2:3" x14ac:dyDescent="0.35">
      <c r="B1253" s="517">
        <v>44320</v>
      </c>
      <c r="C1253" s="119">
        <v>14496.5</v>
      </c>
    </row>
    <row r="1254" spans="2:3" x14ac:dyDescent="0.35">
      <c r="B1254" s="517">
        <v>44319</v>
      </c>
      <c r="C1254" s="119">
        <v>14634.15</v>
      </c>
    </row>
    <row r="1255" spans="2:3" x14ac:dyDescent="0.35">
      <c r="B1255" s="517">
        <v>44316</v>
      </c>
      <c r="C1255" s="119">
        <v>14631.1</v>
      </c>
    </row>
    <row r="1256" spans="2:3" x14ac:dyDescent="0.35">
      <c r="B1256" s="517">
        <v>44315</v>
      </c>
      <c r="C1256" s="119">
        <v>14894.9</v>
      </c>
    </row>
    <row r="1257" spans="2:3" x14ac:dyDescent="0.35">
      <c r="B1257" s="517">
        <v>44314</v>
      </c>
      <c r="C1257" s="119">
        <v>14864.55</v>
      </c>
    </row>
    <row r="1258" spans="2:3" x14ac:dyDescent="0.35">
      <c r="B1258" s="517">
        <v>44313</v>
      </c>
      <c r="C1258" s="119">
        <v>14653.05</v>
      </c>
    </row>
    <row r="1259" spans="2:3" x14ac:dyDescent="0.35">
      <c r="B1259" s="517">
        <v>44312</v>
      </c>
      <c r="C1259" s="119">
        <v>14485</v>
      </c>
    </row>
    <row r="1260" spans="2:3" x14ac:dyDescent="0.35">
      <c r="B1260" s="517">
        <v>44309</v>
      </c>
      <c r="C1260" s="119">
        <v>14341.35</v>
      </c>
    </row>
    <row r="1261" spans="2:3" x14ac:dyDescent="0.35">
      <c r="B1261" s="517">
        <v>44308</v>
      </c>
      <c r="C1261" s="119">
        <v>14406.15</v>
      </c>
    </row>
    <row r="1262" spans="2:3" x14ac:dyDescent="0.35">
      <c r="B1262" s="517">
        <v>44306</v>
      </c>
      <c r="C1262" s="119">
        <v>14296.4</v>
      </c>
    </row>
    <row r="1263" spans="2:3" x14ac:dyDescent="0.35">
      <c r="B1263" s="517">
        <v>44305</v>
      </c>
      <c r="C1263" s="119">
        <v>14359.45</v>
      </c>
    </row>
    <row r="1264" spans="2:3" x14ac:dyDescent="0.35">
      <c r="B1264" s="517">
        <v>44302</v>
      </c>
      <c r="C1264" s="119">
        <v>14617.85</v>
      </c>
    </row>
    <row r="1265" spans="2:3" x14ac:dyDescent="0.35">
      <c r="B1265" s="517">
        <v>44301</v>
      </c>
      <c r="C1265" s="119">
        <v>14581.45</v>
      </c>
    </row>
    <row r="1266" spans="2:3" x14ac:dyDescent="0.35">
      <c r="B1266" s="517">
        <v>44299</v>
      </c>
      <c r="C1266" s="119">
        <v>14504.8</v>
      </c>
    </row>
    <row r="1267" spans="2:3" x14ac:dyDescent="0.35">
      <c r="B1267" s="517">
        <v>44298</v>
      </c>
      <c r="C1267" s="119">
        <v>14310.8</v>
      </c>
    </row>
    <row r="1268" spans="2:3" x14ac:dyDescent="0.35">
      <c r="B1268" s="517">
        <v>44295</v>
      </c>
      <c r="C1268" s="119">
        <v>14834.85</v>
      </c>
    </row>
    <row r="1269" spans="2:3" x14ac:dyDescent="0.35">
      <c r="B1269" s="517">
        <v>44294</v>
      </c>
      <c r="C1269" s="119">
        <v>14873.8</v>
      </c>
    </row>
    <row r="1270" spans="2:3" x14ac:dyDescent="0.35">
      <c r="B1270" s="517">
        <v>44293</v>
      </c>
      <c r="C1270" s="119">
        <v>14819.05</v>
      </c>
    </row>
    <row r="1271" spans="2:3" x14ac:dyDescent="0.35">
      <c r="B1271" s="517">
        <v>44292</v>
      </c>
      <c r="C1271" s="119">
        <v>14683.5</v>
      </c>
    </row>
    <row r="1272" spans="2:3" x14ac:dyDescent="0.35">
      <c r="B1272" s="517">
        <v>44291</v>
      </c>
      <c r="C1272" s="119">
        <v>14637.8</v>
      </c>
    </row>
    <row r="1273" spans="2:3" x14ac:dyDescent="0.35">
      <c r="B1273" s="517">
        <v>44287</v>
      </c>
      <c r="C1273" s="119">
        <v>14867.35</v>
      </c>
    </row>
    <row r="1274" spans="2:3" x14ac:dyDescent="0.35">
      <c r="B1274" s="517">
        <v>44286</v>
      </c>
      <c r="C1274" s="119">
        <v>14690.7</v>
      </c>
    </row>
    <row r="1275" spans="2:3" x14ac:dyDescent="0.35">
      <c r="B1275" s="517">
        <v>44285</v>
      </c>
      <c r="C1275" s="119">
        <v>14845.1</v>
      </c>
    </row>
    <row r="1276" spans="2:3" x14ac:dyDescent="0.35">
      <c r="B1276" s="517">
        <v>44281</v>
      </c>
      <c r="C1276" s="119">
        <v>14507.3</v>
      </c>
    </row>
    <row r="1277" spans="2:3" x14ac:dyDescent="0.35">
      <c r="B1277" s="517">
        <v>44280</v>
      </c>
      <c r="C1277" s="119">
        <v>14324.9</v>
      </c>
    </row>
    <row r="1278" spans="2:3" x14ac:dyDescent="0.35">
      <c r="B1278" s="517">
        <v>44279</v>
      </c>
      <c r="C1278" s="119">
        <v>14549.4</v>
      </c>
    </row>
    <row r="1279" spans="2:3" x14ac:dyDescent="0.35">
      <c r="B1279" s="517">
        <v>44278</v>
      </c>
      <c r="C1279" s="119">
        <v>14814.75</v>
      </c>
    </row>
    <row r="1280" spans="2:3" x14ac:dyDescent="0.35">
      <c r="B1280" s="517">
        <v>44277</v>
      </c>
      <c r="C1280" s="119">
        <v>14736.4</v>
      </c>
    </row>
    <row r="1281" spans="2:3" x14ac:dyDescent="0.35">
      <c r="B1281" s="517">
        <v>44274</v>
      </c>
      <c r="C1281" s="119">
        <v>14744</v>
      </c>
    </row>
    <row r="1282" spans="2:3" x14ac:dyDescent="0.35">
      <c r="B1282" s="517">
        <v>44273</v>
      </c>
      <c r="C1282" s="119">
        <v>14557.85</v>
      </c>
    </row>
    <row r="1283" spans="2:3" x14ac:dyDescent="0.35">
      <c r="B1283" s="517">
        <v>44272</v>
      </c>
      <c r="C1283" s="119">
        <v>14721.3</v>
      </c>
    </row>
    <row r="1284" spans="2:3" x14ac:dyDescent="0.35">
      <c r="B1284" s="517">
        <v>44271</v>
      </c>
      <c r="C1284" s="119">
        <v>14910.45</v>
      </c>
    </row>
    <row r="1285" spans="2:3" x14ac:dyDescent="0.35">
      <c r="B1285" s="517">
        <v>44270</v>
      </c>
      <c r="C1285" s="119">
        <v>14929.5</v>
      </c>
    </row>
    <row r="1286" spans="2:3" x14ac:dyDescent="0.35">
      <c r="B1286" s="517">
        <v>44267</v>
      </c>
      <c r="C1286" s="119">
        <v>15030.95</v>
      </c>
    </row>
    <row r="1287" spans="2:3" x14ac:dyDescent="0.35">
      <c r="B1287" s="517">
        <v>44265</v>
      </c>
      <c r="C1287" s="119">
        <v>15174.8</v>
      </c>
    </row>
    <row r="1288" spans="2:3" x14ac:dyDescent="0.35">
      <c r="B1288" s="517">
        <v>44264</v>
      </c>
      <c r="C1288" s="119">
        <v>15098.4</v>
      </c>
    </row>
    <row r="1289" spans="2:3" x14ac:dyDescent="0.35">
      <c r="B1289" s="517">
        <v>44263</v>
      </c>
      <c r="C1289" s="119">
        <v>14956.2</v>
      </c>
    </row>
    <row r="1290" spans="2:3" x14ac:dyDescent="0.35">
      <c r="B1290" s="517">
        <v>44260</v>
      </c>
      <c r="C1290" s="119">
        <v>14938.1</v>
      </c>
    </row>
    <row r="1291" spans="2:3" x14ac:dyDescent="0.35">
      <c r="B1291" s="517">
        <v>44259</v>
      </c>
      <c r="C1291" s="119">
        <v>15080.75</v>
      </c>
    </row>
    <row r="1292" spans="2:3" x14ac:dyDescent="0.35">
      <c r="B1292" s="517">
        <v>44258</v>
      </c>
      <c r="C1292" s="119">
        <v>15245.6</v>
      </c>
    </row>
    <row r="1293" spans="2:3" x14ac:dyDescent="0.35">
      <c r="B1293" s="517">
        <v>44257</v>
      </c>
      <c r="C1293" s="119">
        <v>14919.1</v>
      </c>
    </row>
    <row r="1294" spans="2:3" x14ac:dyDescent="0.35">
      <c r="B1294" s="517">
        <v>44256</v>
      </c>
      <c r="C1294" s="119">
        <v>14761.55</v>
      </c>
    </row>
    <row r="1295" spans="2:3" x14ac:dyDescent="0.35">
      <c r="B1295" s="517">
        <v>44253</v>
      </c>
      <c r="C1295" s="119">
        <v>14529.15</v>
      </c>
    </row>
    <row r="1296" spans="2:3" x14ac:dyDescent="0.35">
      <c r="B1296" s="517">
        <v>44252</v>
      </c>
      <c r="C1296" s="119">
        <v>15097.35</v>
      </c>
    </row>
    <row r="1297" spans="2:3" x14ac:dyDescent="0.35">
      <c r="B1297" s="517">
        <v>44251</v>
      </c>
      <c r="C1297" s="119">
        <v>14982</v>
      </c>
    </row>
    <row r="1298" spans="2:3" x14ac:dyDescent="0.35">
      <c r="B1298" s="517">
        <v>44250</v>
      </c>
      <c r="C1298" s="119">
        <v>14707.8</v>
      </c>
    </row>
    <row r="1299" spans="2:3" x14ac:dyDescent="0.35">
      <c r="B1299" s="517">
        <v>44249</v>
      </c>
      <c r="C1299" s="119">
        <v>14675.7</v>
      </c>
    </row>
    <row r="1300" spans="2:3" x14ac:dyDescent="0.35">
      <c r="B1300" s="517">
        <v>44246</v>
      </c>
      <c r="C1300" s="119">
        <v>14981.75</v>
      </c>
    </row>
    <row r="1301" spans="2:3" x14ac:dyDescent="0.35">
      <c r="B1301" s="517">
        <v>44245</v>
      </c>
      <c r="C1301" s="119">
        <v>15118.95</v>
      </c>
    </row>
    <row r="1302" spans="2:3" x14ac:dyDescent="0.35">
      <c r="B1302" s="517">
        <v>44244</v>
      </c>
      <c r="C1302" s="119">
        <v>15208.9</v>
      </c>
    </row>
    <row r="1303" spans="2:3" x14ac:dyDescent="0.35">
      <c r="B1303" s="517">
        <v>44243</v>
      </c>
      <c r="C1303" s="119">
        <v>15313.45</v>
      </c>
    </row>
    <row r="1304" spans="2:3" x14ac:dyDescent="0.35">
      <c r="B1304" s="517">
        <v>44242</v>
      </c>
      <c r="C1304" s="119">
        <v>15314.7</v>
      </c>
    </row>
    <row r="1305" spans="2:3" x14ac:dyDescent="0.35">
      <c r="B1305" s="517">
        <v>44239</v>
      </c>
      <c r="C1305" s="119">
        <v>15163.3</v>
      </c>
    </row>
    <row r="1306" spans="2:3" x14ac:dyDescent="0.35">
      <c r="B1306" s="517">
        <v>44238</v>
      </c>
      <c r="C1306" s="119">
        <v>15173.3</v>
      </c>
    </row>
    <row r="1307" spans="2:3" x14ac:dyDescent="0.35">
      <c r="B1307" s="517">
        <v>44237</v>
      </c>
      <c r="C1307" s="119">
        <v>15106.5</v>
      </c>
    </row>
    <row r="1308" spans="2:3" x14ac:dyDescent="0.35">
      <c r="B1308" s="517">
        <v>44236</v>
      </c>
      <c r="C1308" s="119">
        <v>15109.3</v>
      </c>
    </row>
    <row r="1309" spans="2:3" x14ac:dyDescent="0.35">
      <c r="B1309" s="517">
        <v>44235</v>
      </c>
      <c r="C1309" s="119">
        <v>15115.8</v>
      </c>
    </row>
    <row r="1310" spans="2:3" x14ac:dyDescent="0.35">
      <c r="B1310" s="517">
        <v>44232</v>
      </c>
      <c r="C1310" s="119">
        <v>14924.25</v>
      </c>
    </row>
    <row r="1311" spans="2:3" x14ac:dyDescent="0.35">
      <c r="B1311" s="517">
        <v>44231</v>
      </c>
      <c r="C1311" s="119">
        <v>14895.65</v>
      </c>
    </row>
    <row r="1312" spans="2:3" x14ac:dyDescent="0.35">
      <c r="B1312" s="517">
        <v>44230</v>
      </c>
      <c r="C1312" s="119">
        <v>14789.95</v>
      </c>
    </row>
    <row r="1313" spans="2:3" x14ac:dyDescent="0.35">
      <c r="B1313" s="517">
        <v>44229</v>
      </c>
      <c r="C1313" s="119">
        <v>14647.85</v>
      </c>
    </row>
    <row r="1314" spans="2:3" x14ac:dyDescent="0.35">
      <c r="B1314" s="517">
        <v>44228</v>
      </c>
      <c r="C1314" s="119">
        <v>14281.2</v>
      </c>
    </row>
    <row r="1315" spans="2:3" x14ac:dyDescent="0.35">
      <c r="B1315" s="517">
        <v>44225</v>
      </c>
      <c r="C1315" s="119">
        <v>13634.6</v>
      </c>
    </row>
    <row r="1316" spans="2:3" x14ac:dyDescent="0.35">
      <c r="B1316" s="517">
        <v>44224</v>
      </c>
      <c r="C1316" s="119">
        <v>13817.55</v>
      </c>
    </row>
    <row r="1317" spans="2:3" x14ac:dyDescent="0.35">
      <c r="B1317" s="517">
        <v>44223</v>
      </c>
      <c r="C1317" s="119">
        <v>13967.5</v>
      </c>
    </row>
    <row r="1318" spans="2:3" x14ac:dyDescent="0.35">
      <c r="B1318" s="517">
        <v>44221</v>
      </c>
      <c r="C1318" s="119">
        <v>14238.9</v>
      </c>
    </row>
    <row r="1319" spans="2:3" x14ac:dyDescent="0.35">
      <c r="B1319" s="517">
        <v>44218</v>
      </c>
      <c r="C1319" s="119">
        <v>14371.9</v>
      </c>
    </row>
    <row r="1320" spans="2:3" x14ac:dyDescent="0.35">
      <c r="B1320" s="517">
        <v>44217</v>
      </c>
      <c r="C1320" s="119">
        <v>14590.35</v>
      </c>
    </row>
    <row r="1321" spans="2:3" x14ac:dyDescent="0.35">
      <c r="B1321" s="517">
        <v>44216</v>
      </c>
      <c r="C1321" s="119">
        <v>14644.7</v>
      </c>
    </row>
    <row r="1322" spans="2:3" x14ac:dyDescent="0.35">
      <c r="B1322" s="517">
        <v>44215</v>
      </c>
      <c r="C1322" s="119">
        <v>14521.15</v>
      </c>
    </row>
    <row r="1323" spans="2:3" x14ac:dyDescent="0.35">
      <c r="B1323" s="517">
        <v>44214</v>
      </c>
      <c r="C1323" s="119">
        <v>14281.3</v>
      </c>
    </row>
    <row r="1324" spans="2:3" x14ac:dyDescent="0.35">
      <c r="B1324" s="517">
        <v>44211</v>
      </c>
      <c r="C1324" s="119">
        <v>14433.7</v>
      </c>
    </row>
    <row r="1325" spans="2:3" x14ac:dyDescent="0.35">
      <c r="B1325" s="517">
        <v>44210</v>
      </c>
      <c r="C1325" s="119">
        <v>14595.6</v>
      </c>
    </row>
    <row r="1326" spans="2:3" x14ac:dyDescent="0.35">
      <c r="B1326" s="517">
        <v>44209</v>
      </c>
      <c r="C1326" s="119">
        <v>14564.85</v>
      </c>
    </row>
    <row r="1327" spans="2:3" x14ac:dyDescent="0.35">
      <c r="B1327" s="517">
        <v>44208</v>
      </c>
      <c r="C1327" s="119">
        <v>14563.45</v>
      </c>
    </row>
    <row r="1328" spans="2:3" x14ac:dyDescent="0.35">
      <c r="B1328" s="517">
        <v>44207</v>
      </c>
      <c r="C1328" s="119">
        <v>14484.75</v>
      </c>
    </row>
    <row r="1329" spans="2:3" x14ac:dyDescent="0.35">
      <c r="B1329" s="517">
        <v>44204</v>
      </c>
      <c r="C1329" s="119">
        <v>14347.25</v>
      </c>
    </row>
    <row r="1330" spans="2:3" x14ac:dyDescent="0.35">
      <c r="B1330" s="517">
        <v>44203</v>
      </c>
      <c r="C1330" s="119">
        <v>14137.35</v>
      </c>
    </row>
    <row r="1331" spans="2:3" x14ac:dyDescent="0.35">
      <c r="B1331" s="517">
        <v>44202</v>
      </c>
      <c r="C1331" s="119">
        <v>14146.25</v>
      </c>
    </row>
    <row r="1332" spans="2:3" x14ac:dyDescent="0.35">
      <c r="B1332" s="517">
        <v>44201</v>
      </c>
      <c r="C1332" s="119">
        <v>14199.5</v>
      </c>
    </row>
    <row r="1333" spans="2:3" x14ac:dyDescent="0.35">
      <c r="B1333" s="517">
        <v>44200</v>
      </c>
      <c r="C1333" s="119">
        <v>14132.9</v>
      </c>
    </row>
    <row r="1334" spans="2:3" x14ac:dyDescent="0.35">
      <c r="B1334" s="517">
        <v>44197</v>
      </c>
      <c r="C1334" s="119">
        <v>14018.5</v>
      </c>
    </row>
    <row r="1335" spans="2:3" x14ac:dyDescent="0.35">
      <c r="B1335" s="517">
        <v>44196</v>
      </c>
      <c r="C1335" s="119">
        <v>13981.75</v>
      </c>
    </row>
    <row r="1336" spans="2:3" x14ac:dyDescent="0.35">
      <c r="B1336" s="517">
        <v>44195</v>
      </c>
      <c r="C1336" s="119">
        <v>13981.95</v>
      </c>
    </row>
    <row r="1337" spans="2:3" x14ac:dyDescent="0.35">
      <c r="B1337" s="517">
        <v>44194</v>
      </c>
      <c r="C1337" s="119">
        <v>13932.6</v>
      </c>
    </row>
    <row r="1338" spans="2:3" x14ac:dyDescent="0.35">
      <c r="B1338" s="517">
        <v>44193</v>
      </c>
      <c r="C1338" s="119">
        <v>13873.2</v>
      </c>
    </row>
    <row r="1339" spans="2:3" x14ac:dyDescent="0.35">
      <c r="B1339" s="517">
        <v>44189</v>
      </c>
      <c r="C1339" s="119">
        <v>13749.25</v>
      </c>
    </row>
    <row r="1340" spans="2:3" x14ac:dyDescent="0.35">
      <c r="B1340" s="517">
        <v>44188</v>
      </c>
      <c r="C1340" s="119">
        <v>13601.1</v>
      </c>
    </row>
    <row r="1341" spans="2:3" x14ac:dyDescent="0.35">
      <c r="B1341" s="517">
        <v>44187</v>
      </c>
      <c r="C1341" s="119">
        <v>13466.3</v>
      </c>
    </row>
    <row r="1342" spans="2:3" x14ac:dyDescent="0.35">
      <c r="B1342" s="517">
        <v>44186</v>
      </c>
      <c r="C1342" s="119">
        <v>13328.4</v>
      </c>
    </row>
    <row r="1343" spans="2:3" x14ac:dyDescent="0.35">
      <c r="B1343" s="517">
        <v>44183</v>
      </c>
      <c r="C1343" s="119">
        <v>13760.55</v>
      </c>
    </row>
    <row r="1344" spans="2:3" x14ac:dyDescent="0.35">
      <c r="B1344" s="517">
        <v>44182</v>
      </c>
      <c r="C1344" s="119">
        <v>13740.7</v>
      </c>
    </row>
    <row r="1345" spans="2:3" x14ac:dyDescent="0.35">
      <c r="B1345" s="517">
        <v>44181</v>
      </c>
      <c r="C1345" s="119">
        <v>13682.7</v>
      </c>
    </row>
    <row r="1346" spans="2:3" x14ac:dyDescent="0.35">
      <c r="B1346" s="517">
        <v>44180</v>
      </c>
      <c r="C1346" s="119">
        <v>13567.85</v>
      </c>
    </row>
    <row r="1347" spans="2:3" x14ac:dyDescent="0.35">
      <c r="B1347" s="517">
        <v>44179</v>
      </c>
      <c r="C1347" s="119">
        <v>13558.15</v>
      </c>
    </row>
    <row r="1348" spans="2:3" x14ac:dyDescent="0.35">
      <c r="B1348" s="517">
        <v>44176</v>
      </c>
      <c r="C1348" s="119">
        <v>13513.85</v>
      </c>
    </row>
    <row r="1349" spans="2:3" x14ac:dyDescent="0.35">
      <c r="B1349" s="517">
        <v>44175</v>
      </c>
      <c r="C1349" s="119">
        <v>13478.3</v>
      </c>
    </row>
    <row r="1350" spans="2:3" x14ac:dyDescent="0.35">
      <c r="B1350" s="517">
        <v>44174</v>
      </c>
      <c r="C1350" s="119">
        <v>13529.1</v>
      </c>
    </row>
    <row r="1351" spans="2:3" x14ac:dyDescent="0.35">
      <c r="B1351" s="517">
        <v>44173</v>
      </c>
      <c r="C1351" s="119">
        <v>13392.95</v>
      </c>
    </row>
    <row r="1352" spans="2:3" x14ac:dyDescent="0.35">
      <c r="B1352" s="517">
        <v>44172</v>
      </c>
      <c r="C1352" s="119">
        <v>13355.75</v>
      </c>
    </row>
    <row r="1353" spans="2:3" x14ac:dyDescent="0.35">
      <c r="B1353" s="517">
        <v>44169</v>
      </c>
      <c r="C1353" s="119">
        <v>13258.55</v>
      </c>
    </row>
    <row r="1354" spans="2:3" x14ac:dyDescent="0.35">
      <c r="B1354" s="517">
        <v>44168</v>
      </c>
      <c r="C1354" s="119">
        <v>13133.9</v>
      </c>
    </row>
    <row r="1355" spans="2:3" x14ac:dyDescent="0.35">
      <c r="B1355" s="517">
        <v>44167</v>
      </c>
      <c r="C1355" s="119">
        <v>13113.75</v>
      </c>
    </row>
    <row r="1356" spans="2:3" x14ac:dyDescent="0.35">
      <c r="B1356" s="517">
        <v>44166</v>
      </c>
      <c r="C1356" s="119">
        <v>13109.05</v>
      </c>
    </row>
    <row r="1357" spans="2:3" x14ac:dyDescent="0.35">
      <c r="B1357" s="517">
        <v>44162</v>
      </c>
      <c r="C1357" s="119">
        <v>12968.95</v>
      </c>
    </row>
    <row r="1358" spans="2:3" x14ac:dyDescent="0.35">
      <c r="B1358" s="517">
        <v>44161</v>
      </c>
      <c r="C1358" s="119">
        <v>12987</v>
      </c>
    </row>
    <row r="1359" spans="2:3" x14ac:dyDescent="0.35">
      <c r="B1359" s="517">
        <v>44160</v>
      </c>
      <c r="C1359" s="119">
        <v>12858.4</v>
      </c>
    </row>
    <row r="1360" spans="2:3" x14ac:dyDescent="0.35">
      <c r="B1360" s="517">
        <v>44159</v>
      </c>
      <c r="C1360" s="119">
        <v>13055.15</v>
      </c>
    </row>
    <row r="1361" spans="2:3" x14ac:dyDescent="0.35">
      <c r="B1361" s="517">
        <v>44158</v>
      </c>
      <c r="C1361" s="119">
        <v>12926.45</v>
      </c>
    </row>
    <row r="1362" spans="2:3" x14ac:dyDescent="0.35">
      <c r="B1362" s="517">
        <v>44155</v>
      </c>
      <c r="C1362" s="119">
        <v>12859.05</v>
      </c>
    </row>
    <row r="1363" spans="2:3" x14ac:dyDescent="0.35">
      <c r="B1363" s="517">
        <v>44154</v>
      </c>
      <c r="C1363" s="119">
        <v>12771.7</v>
      </c>
    </row>
    <row r="1364" spans="2:3" x14ac:dyDescent="0.35">
      <c r="B1364" s="517">
        <v>44153</v>
      </c>
      <c r="C1364" s="119">
        <v>12938.25</v>
      </c>
    </row>
    <row r="1365" spans="2:3" x14ac:dyDescent="0.35">
      <c r="B1365" s="517">
        <v>44152</v>
      </c>
      <c r="C1365" s="119">
        <v>12874.2</v>
      </c>
    </row>
    <row r="1366" spans="2:3" x14ac:dyDescent="0.35">
      <c r="B1366" s="517">
        <v>44149</v>
      </c>
      <c r="C1366" s="119">
        <v>12780.25</v>
      </c>
    </row>
    <row r="1367" spans="2:3" x14ac:dyDescent="0.35">
      <c r="B1367" s="517">
        <v>44148</v>
      </c>
      <c r="C1367" s="119">
        <v>12719.95</v>
      </c>
    </row>
    <row r="1368" spans="2:3" x14ac:dyDescent="0.35">
      <c r="B1368" s="517">
        <v>44147</v>
      </c>
      <c r="C1368" s="119">
        <v>12690.8</v>
      </c>
    </row>
    <row r="1369" spans="2:3" x14ac:dyDescent="0.35">
      <c r="B1369" s="517">
        <v>44146</v>
      </c>
      <c r="C1369" s="119">
        <v>12749.15</v>
      </c>
    </row>
    <row r="1370" spans="2:3" x14ac:dyDescent="0.35">
      <c r="B1370" s="517">
        <v>44145</v>
      </c>
      <c r="C1370" s="119">
        <v>12631.1</v>
      </c>
    </row>
    <row r="1371" spans="2:3" x14ac:dyDescent="0.35">
      <c r="B1371" s="517">
        <v>44144</v>
      </c>
      <c r="C1371" s="119">
        <v>12461.05</v>
      </c>
    </row>
    <row r="1372" spans="2:3" x14ac:dyDescent="0.35">
      <c r="B1372" s="517">
        <v>44141</v>
      </c>
      <c r="C1372" s="119">
        <v>12263.55</v>
      </c>
    </row>
    <row r="1373" spans="2:3" x14ac:dyDescent="0.35">
      <c r="B1373" s="517">
        <v>44140</v>
      </c>
      <c r="C1373" s="119">
        <v>12120.3</v>
      </c>
    </row>
    <row r="1374" spans="2:3" x14ac:dyDescent="0.35">
      <c r="B1374" s="517">
        <v>44139</v>
      </c>
      <c r="C1374" s="119">
        <v>11908.5</v>
      </c>
    </row>
    <row r="1375" spans="2:3" x14ac:dyDescent="0.35">
      <c r="B1375" s="517">
        <v>44138</v>
      </c>
      <c r="C1375" s="119">
        <v>11813.5</v>
      </c>
    </row>
    <row r="1376" spans="2:3" x14ac:dyDescent="0.35">
      <c r="B1376" s="517">
        <v>44137</v>
      </c>
      <c r="C1376" s="119">
        <v>11669.15</v>
      </c>
    </row>
    <row r="1377" spans="2:3" x14ac:dyDescent="0.35">
      <c r="B1377" s="517">
        <v>44134</v>
      </c>
      <c r="C1377" s="119">
        <v>11642.4</v>
      </c>
    </row>
    <row r="1378" spans="2:3" x14ac:dyDescent="0.35">
      <c r="B1378" s="517">
        <v>44133</v>
      </c>
      <c r="C1378" s="119">
        <v>11670.8</v>
      </c>
    </row>
    <row r="1379" spans="2:3" x14ac:dyDescent="0.35">
      <c r="B1379" s="517">
        <v>44132</v>
      </c>
      <c r="C1379" s="119">
        <v>11729.6</v>
      </c>
    </row>
    <row r="1380" spans="2:3" x14ac:dyDescent="0.35">
      <c r="B1380" s="517">
        <v>44131</v>
      </c>
      <c r="C1380" s="119">
        <v>11889.4</v>
      </c>
    </row>
    <row r="1381" spans="2:3" x14ac:dyDescent="0.35">
      <c r="B1381" s="517">
        <v>44130</v>
      </c>
      <c r="C1381" s="119">
        <v>11767.75</v>
      </c>
    </row>
    <row r="1382" spans="2:3" x14ac:dyDescent="0.35">
      <c r="B1382" s="517">
        <v>44127</v>
      </c>
      <c r="C1382" s="119">
        <v>11930.35</v>
      </c>
    </row>
    <row r="1383" spans="2:3" x14ac:dyDescent="0.35">
      <c r="B1383" s="517">
        <v>44126</v>
      </c>
      <c r="C1383" s="119">
        <v>11896.45</v>
      </c>
    </row>
    <row r="1384" spans="2:3" x14ac:dyDescent="0.35">
      <c r="B1384" s="517">
        <v>44125</v>
      </c>
      <c r="C1384" s="119">
        <v>11937.65</v>
      </c>
    </row>
    <row r="1385" spans="2:3" x14ac:dyDescent="0.35">
      <c r="B1385" s="517">
        <v>44124</v>
      </c>
      <c r="C1385" s="119">
        <v>11896.8</v>
      </c>
    </row>
    <row r="1386" spans="2:3" x14ac:dyDescent="0.35">
      <c r="B1386" s="517">
        <v>44123</v>
      </c>
      <c r="C1386" s="119">
        <v>11873.05</v>
      </c>
    </row>
    <row r="1387" spans="2:3" x14ac:dyDescent="0.35">
      <c r="B1387" s="517">
        <v>44120</v>
      </c>
      <c r="C1387" s="119">
        <v>11762.45</v>
      </c>
    </row>
    <row r="1388" spans="2:3" x14ac:dyDescent="0.35">
      <c r="B1388" s="517">
        <v>44119</v>
      </c>
      <c r="C1388" s="119">
        <v>11680.35</v>
      </c>
    </row>
    <row r="1389" spans="2:3" x14ac:dyDescent="0.35">
      <c r="B1389" s="517">
        <v>44118</v>
      </c>
      <c r="C1389" s="119">
        <v>11971.05</v>
      </c>
    </row>
    <row r="1390" spans="2:3" x14ac:dyDescent="0.35">
      <c r="B1390" s="517">
        <v>44117</v>
      </c>
      <c r="C1390" s="119">
        <v>11934.5</v>
      </c>
    </row>
    <row r="1391" spans="2:3" x14ac:dyDescent="0.35">
      <c r="B1391" s="517">
        <v>44116</v>
      </c>
      <c r="C1391" s="119">
        <v>11930.95</v>
      </c>
    </row>
    <row r="1392" spans="2:3" x14ac:dyDescent="0.35">
      <c r="B1392" s="517">
        <v>44113</v>
      </c>
      <c r="C1392" s="119">
        <v>11914.2</v>
      </c>
    </row>
    <row r="1393" spans="2:3" x14ac:dyDescent="0.35">
      <c r="B1393" s="517">
        <v>44112</v>
      </c>
      <c r="C1393" s="119">
        <v>11834.6</v>
      </c>
    </row>
    <row r="1394" spans="2:3" x14ac:dyDescent="0.35">
      <c r="B1394" s="517">
        <v>44111</v>
      </c>
      <c r="C1394" s="119">
        <v>11738.85</v>
      </c>
    </row>
    <row r="1395" spans="2:3" x14ac:dyDescent="0.35">
      <c r="B1395" s="517">
        <v>44110</v>
      </c>
      <c r="C1395" s="119">
        <v>11662.4</v>
      </c>
    </row>
    <row r="1396" spans="2:3" x14ac:dyDescent="0.35">
      <c r="B1396" s="517">
        <v>44109</v>
      </c>
      <c r="C1396" s="119">
        <v>11503.35</v>
      </c>
    </row>
    <row r="1397" spans="2:3" x14ac:dyDescent="0.35">
      <c r="B1397" s="517">
        <v>44105</v>
      </c>
      <c r="C1397" s="119">
        <v>11416.95</v>
      </c>
    </row>
    <row r="1398" spans="2:3" x14ac:dyDescent="0.35">
      <c r="B1398" s="517">
        <v>44104</v>
      </c>
      <c r="C1398" s="119">
        <v>11247.55</v>
      </c>
    </row>
    <row r="1399" spans="2:3" x14ac:dyDescent="0.35">
      <c r="B1399" s="517">
        <v>44103</v>
      </c>
      <c r="C1399" s="119">
        <v>11222.4</v>
      </c>
    </row>
    <row r="1400" spans="2:3" x14ac:dyDescent="0.35">
      <c r="B1400" s="517">
        <v>44102</v>
      </c>
      <c r="C1400" s="119">
        <v>11227.55</v>
      </c>
    </row>
    <row r="1401" spans="2:3" x14ac:dyDescent="0.35">
      <c r="B1401" s="517">
        <v>44099</v>
      </c>
      <c r="C1401" s="119">
        <v>11050.25</v>
      </c>
    </row>
    <row r="1402" spans="2:3" x14ac:dyDescent="0.35">
      <c r="B1402" s="517">
        <v>44098</v>
      </c>
      <c r="C1402" s="119">
        <v>10805.55</v>
      </c>
    </row>
    <row r="1403" spans="2:3" x14ac:dyDescent="0.35">
      <c r="B1403" s="517">
        <v>44097</v>
      </c>
      <c r="C1403" s="119">
        <v>11131.85</v>
      </c>
    </row>
    <row r="1404" spans="2:3" x14ac:dyDescent="0.35">
      <c r="B1404" s="517">
        <v>44096</v>
      </c>
      <c r="C1404" s="119">
        <v>11153.65</v>
      </c>
    </row>
    <row r="1405" spans="2:3" x14ac:dyDescent="0.35">
      <c r="B1405" s="517">
        <v>44095</v>
      </c>
      <c r="C1405" s="119">
        <v>11250.55</v>
      </c>
    </row>
    <row r="1406" spans="2:3" x14ac:dyDescent="0.35">
      <c r="B1406" s="517">
        <v>44092</v>
      </c>
      <c r="C1406" s="119">
        <v>11504.95</v>
      </c>
    </row>
    <row r="1407" spans="2:3" x14ac:dyDescent="0.35">
      <c r="B1407" s="517">
        <v>44091</v>
      </c>
      <c r="C1407" s="119">
        <v>11516.1</v>
      </c>
    </row>
    <row r="1408" spans="2:3" x14ac:dyDescent="0.35">
      <c r="B1408" s="517">
        <v>44090</v>
      </c>
      <c r="C1408" s="119">
        <v>11604.55</v>
      </c>
    </row>
    <row r="1409" spans="2:3" x14ac:dyDescent="0.35">
      <c r="B1409" s="517">
        <v>44089</v>
      </c>
      <c r="C1409" s="119">
        <v>11521.8</v>
      </c>
    </row>
    <row r="1410" spans="2:3" x14ac:dyDescent="0.35">
      <c r="B1410" s="517">
        <v>44088</v>
      </c>
      <c r="C1410" s="119">
        <v>11440.05</v>
      </c>
    </row>
    <row r="1411" spans="2:3" x14ac:dyDescent="0.35">
      <c r="B1411" s="517">
        <v>44085</v>
      </c>
      <c r="C1411" s="119">
        <v>11464.45</v>
      </c>
    </row>
    <row r="1412" spans="2:3" x14ac:dyDescent="0.35">
      <c r="B1412" s="517">
        <v>44084</v>
      </c>
      <c r="C1412" s="119">
        <v>11449.25</v>
      </c>
    </row>
    <row r="1413" spans="2:3" x14ac:dyDescent="0.35">
      <c r="B1413" s="517">
        <v>44083</v>
      </c>
      <c r="C1413" s="119">
        <v>11278</v>
      </c>
    </row>
    <row r="1414" spans="2:3" x14ac:dyDescent="0.35">
      <c r="B1414" s="517">
        <v>44082</v>
      </c>
      <c r="C1414" s="119">
        <v>11317.35</v>
      </c>
    </row>
    <row r="1415" spans="2:3" x14ac:dyDescent="0.35">
      <c r="B1415" s="517">
        <v>44081</v>
      </c>
      <c r="C1415" s="119">
        <v>11355.05</v>
      </c>
    </row>
    <row r="1416" spans="2:3" x14ac:dyDescent="0.35">
      <c r="B1416" s="517">
        <v>44078</v>
      </c>
      <c r="C1416" s="119">
        <v>11333.85</v>
      </c>
    </row>
    <row r="1417" spans="2:3" x14ac:dyDescent="0.35">
      <c r="B1417" s="517">
        <v>44077</v>
      </c>
      <c r="C1417" s="119">
        <v>11527.45</v>
      </c>
    </row>
    <row r="1418" spans="2:3" x14ac:dyDescent="0.35">
      <c r="B1418" s="517">
        <v>44076</v>
      </c>
      <c r="C1418" s="119">
        <v>11535</v>
      </c>
    </row>
    <row r="1419" spans="2:3" x14ac:dyDescent="0.35">
      <c r="B1419" s="517">
        <v>44075</v>
      </c>
      <c r="C1419" s="119">
        <v>11470.25</v>
      </c>
    </row>
    <row r="1420" spans="2:3" x14ac:dyDescent="0.35">
      <c r="B1420" s="517">
        <v>44074</v>
      </c>
      <c r="C1420" s="119">
        <v>11387.5</v>
      </c>
    </row>
    <row r="1421" spans="2:3" x14ac:dyDescent="0.35">
      <c r="B1421" s="517">
        <v>44071</v>
      </c>
      <c r="C1421" s="119">
        <v>11647.6</v>
      </c>
    </row>
    <row r="1422" spans="2:3" x14ac:dyDescent="0.35">
      <c r="B1422" s="517">
        <v>44070</v>
      </c>
      <c r="C1422" s="119">
        <v>11559.25</v>
      </c>
    </row>
    <row r="1423" spans="2:3" x14ac:dyDescent="0.35">
      <c r="B1423" s="517">
        <v>44069</v>
      </c>
      <c r="C1423" s="119">
        <v>11549.6</v>
      </c>
    </row>
    <row r="1424" spans="2:3" x14ac:dyDescent="0.35">
      <c r="B1424" s="517">
        <v>44068</v>
      </c>
      <c r="C1424" s="119">
        <v>11472.25</v>
      </c>
    </row>
    <row r="1425" spans="2:3" x14ac:dyDescent="0.35">
      <c r="B1425" s="517">
        <v>44067</v>
      </c>
      <c r="C1425" s="119">
        <v>11466.45</v>
      </c>
    </row>
    <row r="1426" spans="2:3" x14ac:dyDescent="0.35">
      <c r="B1426" s="517">
        <v>44064</v>
      </c>
      <c r="C1426" s="119">
        <v>11371.6</v>
      </c>
    </row>
    <row r="1427" spans="2:3" x14ac:dyDescent="0.35">
      <c r="B1427" s="517">
        <v>44063</v>
      </c>
      <c r="C1427" s="119">
        <v>11312.2</v>
      </c>
    </row>
    <row r="1428" spans="2:3" x14ac:dyDescent="0.35">
      <c r="B1428" s="517">
        <v>44062</v>
      </c>
      <c r="C1428" s="119">
        <v>11408.4</v>
      </c>
    </row>
    <row r="1429" spans="2:3" x14ac:dyDescent="0.35">
      <c r="B1429" s="517">
        <v>44061</v>
      </c>
      <c r="C1429" s="119">
        <v>11385.35</v>
      </c>
    </row>
    <row r="1430" spans="2:3" x14ac:dyDescent="0.35">
      <c r="B1430" s="517">
        <v>44060</v>
      </c>
      <c r="C1430" s="119">
        <v>11247.1</v>
      </c>
    </row>
    <row r="1431" spans="2:3" x14ac:dyDescent="0.35">
      <c r="B1431" s="517">
        <v>44057</v>
      </c>
      <c r="C1431" s="119">
        <v>11178.4</v>
      </c>
    </row>
    <row r="1432" spans="2:3" x14ac:dyDescent="0.35">
      <c r="B1432" s="517">
        <v>44056</v>
      </c>
      <c r="C1432" s="119">
        <v>11300.45</v>
      </c>
    </row>
    <row r="1433" spans="2:3" x14ac:dyDescent="0.35">
      <c r="B1433" s="517">
        <v>44055</v>
      </c>
      <c r="C1433" s="119">
        <v>11308.4</v>
      </c>
    </row>
    <row r="1434" spans="2:3" x14ac:dyDescent="0.35">
      <c r="B1434" s="517">
        <v>44054</v>
      </c>
      <c r="C1434" s="119">
        <v>11322.5</v>
      </c>
    </row>
    <row r="1435" spans="2:3" x14ac:dyDescent="0.35">
      <c r="B1435" s="517">
        <v>44053</v>
      </c>
      <c r="C1435" s="119">
        <v>11270.15</v>
      </c>
    </row>
    <row r="1436" spans="2:3" x14ac:dyDescent="0.35">
      <c r="B1436" s="517">
        <v>44050</v>
      </c>
      <c r="C1436" s="119">
        <v>11214.05</v>
      </c>
    </row>
    <row r="1437" spans="2:3" x14ac:dyDescent="0.35">
      <c r="B1437" s="517">
        <v>44049</v>
      </c>
      <c r="C1437" s="119">
        <v>11200.15</v>
      </c>
    </row>
    <row r="1438" spans="2:3" x14ac:dyDescent="0.35">
      <c r="B1438" s="517">
        <v>44048</v>
      </c>
      <c r="C1438" s="119">
        <v>11101.65</v>
      </c>
    </row>
    <row r="1439" spans="2:3" x14ac:dyDescent="0.35">
      <c r="B1439" s="517">
        <v>44047</v>
      </c>
      <c r="C1439" s="119">
        <v>11095.25</v>
      </c>
    </row>
    <row r="1440" spans="2:3" x14ac:dyDescent="0.35">
      <c r="B1440" s="517">
        <v>44046</v>
      </c>
      <c r="C1440" s="119">
        <v>10891.6</v>
      </c>
    </row>
    <row r="1441" spans="2:3" x14ac:dyDescent="0.35">
      <c r="B1441" s="517">
        <v>44043</v>
      </c>
      <c r="C1441" s="119">
        <v>11073.45</v>
      </c>
    </row>
    <row r="1442" spans="2:3" x14ac:dyDescent="0.35">
      <c r="B1442" s="517">
        <v>44042</v>
      </c>
      <c r="C1442" s="119">
        <v>11102.15</v>
      </c>
    </row>
    <row r="1443" spans="2:3" x14ac:dyDescent="0.35">
      <c r="B1443" s="517">
        <v>44041</v>
      </c>
      <c r="C1443" s="119">
        <v>11202.85</v>
      </c>
    </row>
    <row r="1444" spans="2:3" x14ac:dyDescent="0.35">
      <c r="B1444" s="517">
        <v>44040</v>
      </c>
      <c r="C1444" s="119">
        <v>11300.55</v>
      </c>
    </row>
    <row r="1445" spans="2:3" x14ac:dyDescent="0.35">
      <c r="B1445" s="517">
        <v>44039</v>
      </c>
      <c r="C1445" s="119">
        <v>11131.8</v>
      </c>
    </row>
    <row r="1446" spans="2:3" x14ac:dyDescent="0.35">
      <c r="B1446" s="517">
        <v>44036</v>
      </c>
      <c r="C1446" s="119">
        <v>11194.15</v>
      </c>
    </row>
    <row r="1447" spans="2:3" x14ac:dyDescent="0.35">
      <c r="B1447" s="517">
        <v>44035</v>
      </c>
      <c r="C1447" s="119">
        <v>11215.45</v>
      </c>
    </row>
    <row r="1448" spans="2:3" x14ac:dyDescent="0.35">
      <c r="B1448" s="517">
        <v>44034</v>
      </c>
      <c r="C1448" s="119">
        <v>11132.6</v>
      </c>
    </row>
    <row r="1449" spans="2:3" x14ac:dyDescent="0.35">
      <c r="B1449" s="517">
        <v>44033</v>
      </c>
      <c r="C1449" s="119">
        <v>11162.25</v>
      </c>
    </row>
    <row r="1450" spans="2:3" x14ac:dyDescent="0.35">
      <c r="B1450" s="517">
        <v>44032</v>
      </c>
      <c r="C1450" s="119">
        <v>11022.2</v>
      </c>
    </row>
    <row r="1451" spans="2:3" x14ac:dyDescent="0.35">
      <c r="B1451" s="517">
        <v>44029</v>
      </c>
      <c r="C1451" s="119">
        <v>10901.7</v>
      </c>
    </row>
    <row r="1452" spans="2:3" x14ac:dyDescent="0.35">
      <c r="B1452" s="517">
        <v>44028</v>
      </c>
      <c r="C1452" s="119">
        <v>10739.95</v>
      </c>
    </row>
    <row r="1453" spans="2:3" x14ac:dyDescent="0.35">
      <c r="B1453" s="517">
        <v>44027</v>
      </c>
      <c r="C1453" s="119">
        <v>10618.2</v>
      </c>
    </row>
    <row r="1454" spans="2:3" x14ac:dyDescent="0.35">
      <c r="B1454" s="517">
        <v>44026</v>
      </c>
      <c r="C1454" s="119">
        <v>10607.35</v>
      </c>
    </row>
    <row r="1455" spans="2:3" x14ac:dyDescent="0.35">
      <c r="B1455" s="517">
        <v>44025</v>
      </c>
      <c r="C1455" s="119">
        <v>10802.7</v>
      </c>
    </row>
    <row r="1456" spans="2:3" x14ac:dyDescent="0.35">
      <c r="B1456" s="517">
        <v>44022</v>
      </c>
      <c r="C1456" s="119">
        <v>10768.05</v>
      </c>
    </row>
    <row r="1457" spans="2:3" x14ac:dyDescent="0.35">
      <c r="B1457" s="517">
        <v>44021</v>
      </c>
      <c r="C1457" s="119">
        <v>10813.45</v>
      </c>
    </row>
    <row r="1458" spans="2:3" x14ac:dyDescent="0.35">
      <c r="B1458" s="517">
        <v>44020</v>
      </c>
      <c r="C1458" s="119">
        <v>10705.75</v>
      </c>
    </row>
    <row r="1459" spans="2:3" x14ac:dyDescent="0.35">
      <c r="B1459" s="517">
        <v>44019</v>
      </c>
      <c r="C1459" s="119">
        <v>10799.65</v>
      </c>
    </row>
    <row r="1460" spans="2:3" x14ac:dyDescent="0.35">
      <c r="B1460" s="517">
        <v>44018</v>
      </c>
      <c r="C1460" s="119">
        <v>10763.65</v>
      </c>
    </row>
    <row r="1461" spans="2:3" x14ac:dyDescent="0.35">
      <c r="B1461" s="517">
        <v>44015</v>
      </c>
      <c r="C1461" s="119">
        <v>10607.35</v>
      </c>
    </row>
    <row r="1462" spans="2:3" x14ac:dyDescent="0.35">
      <c r="B1462" s="517">
        <v>44014</v>
      </c>
      <c r="C1462" s="119">
        <v>10551.7</v>
      </c>
    </row>
    <row r="1463" spans="2:3" x14ac:dyDescent="0.35">
      <c r="B1463" s="517">
        <v>44013</v>
      </c>
      <c r="C1463" s="119">
        <v>10430.049999999999</v>
      </c>
    </row>
    <row r="1464" spans="2:3" x14ac:dyDescent="0.35">
      <c r="B1464" s="517">
        <v>44012</v>
      </c>
      <c r="C1464" s="119">
        <v>10302.1</v>
      </c>
    </row>
    <row r="1465" spans="2:3" x14ac:dyDescent="0.35">
      <c r="B1465" s="517">
        <v>44011</v>
      </c>
      <c r="C1465" s="119">
        <v>10312.4</v>
      </c>
    </row>
    <row r="1466" spans="2:3" x14ac:dyDescent="0.35">
      <c r="B1466" s="517">
        <v>44008</v>
      </c>
      <c r="C1466" s="119">
        <v>10383</v>
      </c>
    </row>
    <row r="1467" spans="2:3" x14ac:dyDescent="0.35">
      <c r="B1467" s="517">
        <v>44007</v>
      </c>
      <c r="C1467" s="119">
        <v>10288.9</v>
      </c>
    </row>
    <row r="1468" spans="2:3" x14ac:dyDescent="0.35">
      <c r="B1468" s="517">
        <v>44006</v>
      </c>
      <c r="C1468" s="119">
        <v>10305.299999999999</v>
      </c>
    </row>
    <row r="1469" spans="2:3" x14ac:dyDescent="0.35">
      <c r="B1469" s="517">
        <v>44005</v>
      </c>
      <c r="C1469" s="119">
        <v>10471</v>
      </c>
    </row>
    <row r="1470" spans="2:3" x14ac:dyDescent="0.35">
      <c r="B1470" s="517">
        <v>44004</v>
      </c>
      <c r="C1470" s="119">
        <v>10311.200000000001</v>
      </c>
    </row>
    <row r="1471" spans="2:3" x14ac:dyDescent="0.35">
      <c r="B1471" s="517">
        <v>44001</v>
      </c>
      <c r="C1471" s="119">
        <v>10244.4</v>
      </c>
    </row>
    <row r="1472" spans="2:3" x14ac:dyDescent="0.35">
      <c r="B1472" s="517">
        <v>44000</v>
      </c>
      <c r="C1472" s="119">
        <v>10091.65</v>
      </c>
    </row>
    <row r="1473" spans="2:3" x14ac:dyDescent="0.35">
      <c r="B1473" s="517">
        <v>43999</v>
      </c>
      <c r="C1473" s="119">
        <v>9881.15</v>
      </c>
    </row>
    <row r="1474" spans="2:3" x14ac:dyDescent="0.35">
      <c r="B1474" s="517">
        <v>43998</v>
      </c>
      <c r="C1474" s="119">
        <v>9914</v>
      </c>
    </row>
    <row r="1475" spans="2:3" x14ac:dyDescent="0.35">
      <c r="B1475" s="517">
        <v>43997</v>
      </c>
      <c r="C1475" s="119">
        <v>9813.7000000000007</v>
      </c>
    </row>
    <row r="1476" spans="2:3" x14ac:dyDescent="0.35">
      <c r="B1476" s="517">
        <v>43994</v>
      </c>
      <c r="C1476" s="119">
        <v>9972.9</v>
      </c>
    </row>
    <row r="1477" spans="2:3" x14ac:dyDescent="0.35">
      <c r="B1477" s="517">
        <v>43993</v>
      </c>
      <c r="C1477" s="119">
        <v>9902</v>
      </c>
    </row>
    <row r="1478" spans="2:3" x14ac:dyDescent="0.35">
      <c r="B1478" s="517">
        <v>43992</v>
      </c>
      <c r="C1478" s="119">
        <v>10116.15</v>
      </c>
    </row>
    <row r="1479" spans="2:3" x14ac:dyDescent="0.35">
      <c r="B1479" s="517">
        <v>43991</v>
      </c>
      <c r="C1479" s="119">
        <v>10046.65</v>
      </c>
    </row>
    <row r="1480" spans="2:3" x14ac:dyDescent="0.35">
      <c r="B1480" s="517">
        <v>43990</v>
      </c>
      <c r="C1480" s="119">
        <v>10167.450000000001</v>
      </c>
    </row>
    <row r="1481" spans="2:3" x14ac:dyDescent="0.35">
      <c r="B1481" s="517">
        <v>43987</v>
      </c>
      <c r="C1481" s="119">
        <v>10142.15</v>
      </c>
    </row>
    <row r="1482" spans="2:3" x14ac:dyDescent="0.35">
      <c r="B1482" s="517">
        <v>43986</v>
      </c>
      <c r="C1482" s="119">
        <v>10029.1</v>
      </c>
    </row>
    <row r="1483" spans="2:3" x14ac:dyDescent="0.35">
      <c r="B1483" s="517">
        <v>43985</v>
      </c>
      <c r="C1483" s="119">
        <v>10061.549999999999</v>
      </c>
    </row>
    <row r="1484" spans="2:3" x14ac:dyDescent="0.35">
      <c r="B1484" s="517">
        <v>43984</v>
      </c>
      <c r="C1484" s="119">
        <v>9979.1</v>
      </c>
    </row>
    <row r="1485" spans="2:3" x14ac:dyDescent="0.35">
      <c r="B1485" s="517">
        <v>43983</v>
      </c>
      <c r="C1485" s="119">
        <v>9826.15</v>
      </c>
    </row>
    <row r="1486" spans="2:3" x14ac:dyDescent="0.35">
      <c r="B1486" s="517">
        <v>43980</v>
      </c>
      <c r="C1486" s="119">
        <v>9580.2999999999993</v>
      </c>
    </row>
    <row r="1487" spans="2:3" x14ac:dyDescent="0.35">
      <c r="B1487" s="517">
        <v>43979</v>
      </c>
      <c r="C1487" s="119">
        <v>9490.1</v>
      </c>
    </row>
    <row r="1488" spans="2:3" x14ac:dyDescent="0.35">
      <c r="B1488" s="517">
        <v>43978</v>
      </c>
      <c r="C1488" s="119">
        <v>9314.9500000000007</v>
      </c>
    </row>
    <row r="1489" spans="2:3" x14ac:dyDescent="0.35">
      <c r="B1489" s="517">
        <v>43977</v>
      </c>
      <c r="C1489" s="119">
        <v>9029.0499999999993</v>
      </c>
    </row>
    <row r="1490" spans="2:3" x14ac:dyDescent="0.35">
      <c r="B1490" s="517">
        <v>43973</v>
      </c>
      <c r="C1490" s="119">
        <v>9039.25</v>
      </c>
    </row>
    <row r="1491" spans="2:3" x14ac:dyDescent="0.35">
      <c r="B1491" s="517">
        <v>43972</v>
      </c>
      <c r="C1491" s="119">
        <v>9106.25</v>
      </c>
    </row>
    <row r="1492" spans="2:3" x14ac:dyDescent="0.35">
      <c r="B1492" s="517">
        <v>43971</v>
      </c>
      <c r="C1492" s="119">
        <v>9066.5499999999993</v>
      </c>
    </row>
    <row r="1493" spans="2:3" x14ac:dyDescent="0.35">
      <c r="B1493" s="517">
        <v>43970</v>
      </c>
      <c r="C1493" s="119">
        <v>8879.1</v>
      </c>
    </row>
    <row r="1494" spans="2:3" x14ac:dyDescent="0.35">
      <c r="B1494" s="517">
        <v>43969</v>
      </c>
      <c r="C1494" s="119">
        <v>8823.25</v>
      </c>
    </row>
    <row r="1495" spans="2:3" x14ac:dyDescent="0.35">
      <c r="B1495" s="517">
        <v>43966</v>
      </c>
      <c r="C1495" s="119">
        <v>9136.85</v>
      </c>
    </row>
    <row r="1496" spans="2:3" x14ac:dyDescent="0.35">
      <c r="B1496" s="517">
        <v>43965</v>
      </c>
      <c r="C1496" s="119">
        <v>9142.75</v>
      </c>
    </row>
    <row r="1497" spans="2:3" x14ac:dyDescent="0.35">
      <c r="B1497" s="517">
        <v>43964</v>
      </c>
      <c r="C1497" s="119">
        <v>9383.5499999999993</v>
      </c>
    </row>
    <row r="1498" spans="2:3" x14ac:dyDescent="0.35">
      <c r="B1498" s="517">
        <v>43963</v>
      </c>
      <c r="C1498" s="119">
        <v>9196.5499999999993</v>
      </c>
    </row>
    <row r="1499" spans="2:3" x14ac:dyDescent="0.35">
      <c r="B1499" s="517">
        <v>43962</v>
      </c>
      <c r="C1499" s="119">
        <v>9239.2000000000007</v>
      </c>
    </row>
    <row r="1500" spans="2:3" x14ac:dyDescent="0.35">
      <c r="B1500" s="517">
        <v>43959</v>
      </c>
      <c r="C1500" s="119">
        <v>9251.5</v>
      </c>
    </row>
    <row r="1501" spans="2:3" x14ac:dyDescent="0.35">
      <c r="B1501" s="517">
        <v>43958</v>
      </c>
      <c r="C1501" s="119">
        <v>9199.0499999999993</v>
      </c>
    </row>
    <row r="1502" spans="2:3" x14ac:dyDescent="0.35">
      <c r="B1502" s="517">
        <v>43957</v>
      </c>
      <c r="C1502" s="119">
        <v>9270.9</v>
      </c>
    </row>
    <row r="1503" spans="2:3" x14ac:dyDescent="0.35">
      <c r="B1503" s="517">
        <v>43956</v>
      </c>
      <c r="C1503" s="119">
        <v>9205.6</v>
      </c>
    </row>
    <row r="1504" spans="2:3" x14ac:dyDescent="0.35">
      <c r="B1504" s="517">
        <v>43955</v>
      </c>
      <c r="C1504" s="119">
        <v>9293.5</v>
      </c>
    </row>
    <row r="1505" spans="2:3" x14ac:dyDescent="0.35">
      <c r="B1505" s="517">
        <v>43951</v>
      </c>
      <c r="C1505" s="119">
        <v>9859.9</v>
      </c>
    </row>
    <row r="1506" spans="2:3" x14ac:dyDescent="0.35">
      <c r="B1506" s="517">
        <v>43950</v>
      </c>
      <c r="C1506" s="119">
        <v>9553.35</v>
      </c>
    </row>
    <row r="1507" spans="2:3" x14ac:dyDescent="0.35">
      <c r="B1507" s="517">
        <v>43949</v>
      </c>
      <c r="C1507" s="119">
        <v>9380.9</v>
      </c>
    </row>
    <row r="1508" spans="2:3" x14ac:dyDescent="0.35">
      <c r="B1508" s="517">
        <v>43948</v>
      </c>
      <c r="C1508" s="119">
        <v>9282.2999999999993</v>
      </c>
    </row>
    <row r="1509" spans="2:3" x14ac:dyDescent="0.35">
      <c r="B1509" s="517">
        <v>43945</v>
      </c>
      <c r="C1509" s="119">
        <v>9154.4</v>
      </c>
    </row>
    <row r="1510" spans="2:3" x14ac:dyDescent="0.35">
      <c r="B1510" s="517">
        <v>43944</v>
      </c>
      <c r="C1510" s="119">
        <v>9313.9</v>
      </c>
    </row>
    <row r="1511" spans="2:3" x14ac:dyDescent="0.35">
      <c r="B1511" s="517">
        <v>43943</v>
      </c>
      <c r="C1511" s="119">
        <v>9187.2999999999993</v>
      </c>
    </row>
    <row r="1512" spans="2:3" x14ac:dyDescent="0.35">
      <c r="B1512" s="517">
        <v>43942</v>
      </c>
      <c r="C1512" s="119">
        <v>8981.4500000000007</v>
      </c>
    </row>
    <row r="1513" spans="2:3" x14ac:dyDescent="0.35">
      <c r="B1513" s="517">
        <v>43941</v>
      </c>
      <c r="C1513" s="119">
        <v>9261.85</v>
      </c>
    </row>
    <row r="1514" spans="2:3" x14ac:dyDescent="0.35">
      <c r="B1514" s="517">
        <v>43938</v>
      </c>
      <c r="C1514" s="119">
        <v>9266.75</v>
      </c>
    </row>
    <row r="1515" spans="2:3" x14ac:dyDescent="0.35">
      <c r="B1515" s="517">
        <v>43937</v>
      </c>
      <c r="C1515" s="119">
        <v>8992.7999999999993</v>
      </c>
    </row>
    <row r="1516" spans="2:3" x14ac:dyDescent="0.35">
      <c r="B1516" s="517">
        <v>43936</v>
      </c>
      <c r="C1516" s="119">
        <v>8925.2999999999993</v>
      </c>
    </row>
    <row r="1517" spans="2:3" x14ac:dyDescent="0.35">
      <c r="B1517" s="517">
        <v>43934</v>
      </c>
      <c r="C1517" s="119">
        <v>8993.85</v>
      </c>
    </row>
    <row r="1518" spans="2:3" x14ac:dyDescent="0.35">
      <c r="B1518" s="517">
        <v>43930</v>
      </c>
      <c r="C1518" s="119">
        <v>9111.9</v>
      </c>
    </row>
    <row r="1519" spans="2:3" x14ac:dyDescent="0.35">
      <c r="B1519" s="517">
        <v>43929</v>
      </c>
      <c r="C1519" s="119">
        <v>8748.75</v>
      </c>
    </row>
    <row r="1520" spans="2:3" x14ac:dyDescent="0.35">
      <c r="B1520" s="517">
        <v>43928</v>
      </c>
      <c r="C1520" s="119">
        <v>8792.2000000000007</v>
      </c>
    </row>
    <row r="1521" spans="2:3" x14ac:dyDescent="0.35">
      <c r="B1521" s="517">
        <v>43924</v>
      </c>
      <c r="C1521" s="119">
        <v>8083.8</v>
      </c>
    </row>
    <row r="1522" spans="2:3" x14ac:dyDescent="0.35">
      <c r="B1522" s="517">
        <v>43922</v>
      </c>
      <c r="C1522" s="119">
        <v>8253.7999999999993</v>
      </c>
    </row>
    <row r="1523" spans="2:3" x14ac:dyDescent="0.35">
      <c r="B1523" s="517">
        <v>43921</v>
      </c>
      <c r="C1523" s="119">
        <v>8597.75</v>
      </c>
    </row>
    <row r="1524" spans="2:3" x14ac:dyDescent="0.35">
      <c r="B1524" s="517">
        <v>43920</v>
      </c>
      <c r="C1524" s="119">
        <v>8281.1</v>
      </c>
    </row>
    <row r="1525" spans="2:3" x14ac:dyDescent="0.35">
      <c r="B1525" s="517">
        <v>43917</v>
      </c>
      <c r="C1525" s="119">
        <v>8660.25</v>
      </c>
    </row>
    <row r="1526" spans="2:3" x14ac:dyDescent="0.35">
      <c r="B1526" s="517">
        <v>43916</v>
      </c>
      <c r="C1526" s="119">
        <v>8641.4500000000007</v>
      </c>
    </row>
    <row r="1527" spans="2:3" x14ac:dyDescent="0.35">
      <c r="B1527" s="517">
        <v>43915</v>
      </c>
      <c r="C1527" s="119">
        <v>8317.85</v>
      </c>
    </row>
    <row r="1528" spans="2:3" x14ac:dyDescent="0.35">
      <c r="B1528" s="517">
        <v>43914</v>
      </c>
      <c r="C1528" s="119">
        <v>7801.05</v>
      </c>
    </row>
    <row r="1529" spans="2:3" x14ac:dyDescent="0.35">
      <c r="B1529" s="517">
        <v>43913</v>
      </c>
      <c r="C1529" s="119">
        <v>7610.25</v>
      </c>
    </row>
    <row r="1530" spans="2:3" x14ac:dyDescent="0.35">
      <c r="B1530" s="517">
        <v>43910</v>
      </c>
      <c r="C1530" s="119">
        <v>8745.4500000000007</v>
      </c>
    </row>
    <row r="1531" spans="2:3" x14ac:dyDescent="0.35">
      <c r="B1531" s="517">
        <v>43909</v>
      </c>
      <c r="C1531" s="119">
        <v>8263.4500000000007</v>
      </c>
    </row>
    <row r="1532" spans="2:3" x14ac:dyDescent="0.35">
      <c r="B1532" s="517">
        <v>43908</v>
      </c>
      <c r="C1532" s="119">
        <v>8468.7999999999993</v>
      </c>
    </row>
    <row r="1533" spans="2:3" x14ac:dyDescent="0.35">
      <c r="B1533" s="517">
        <v>43907</v>
      </c>
      <c r="C1533" s="119">
        <v>8967.0499999999993</v>
      </c>
    </row>
    <row r="1534" spans="2:3" x14ac:dyDescent="0.35">
      <c r="B1534" s="517">
        <v>43906</v>
      </c>
      <c r="C1534" s="119">
        <v>9197.4</v>
      </c>
    </row>
    <row r="1535" spans="2:3" x14ac:dyDescent="0.35">
      <c r="B1535" s="517">
        <v>43903</v>
      </c>
      <c r="C1535" s="119">
        <v>9955.2000000000007</v>
      </c>
    </row>
    <row r="1536" spans="2:3" x14ac:dyDescent="0.35">
      <c r="B1536" s="517">
        <v>43902</v>
      </c>
      <c r="C1536" s="119">
        <v>9590.15</v>
      </c>
    </row>
    <row r="1537" spans="2:3" x14ac:dyDescent="0.35">
      <c r="B1537" s="517">
        <v>43901</v>
      </c>
      <c r="C1537" s="119">
        <v>10458.4</v>
      </c>
    </row>
    <row r="1538" spans="2:3" x14ac:dyDescent="0.35">
      <c r="B1538" s="517">
        <v>43899</v>
      </c>
      <c r="C1538" s="119">
        <v>10451.450000000001</v>
      </c>
    </row>
    <row r="1539" spans="2:3" x14ac:dyDescent="0.35">
      <c r="B1539" s="517">
        <v>43896</v>
      </c>
      <c r="C1539" s="119">
        <v>10989.45</v>
      </c>
    </row>
    <row r="1540" spans="2:3" x14ac:dyDescent="0.35">
      <c r="B1540" s="517">
        <v>43895</v>
      </c>
      <c r="C1540" s="119">
        <v>11269</v>
      </c>
    </row>
    <row r="1541" spans="2:3" x14ac:dyDescent="0.35">
      <c r="B1541" s="517">
        <v>43894</v>
      </c>
      <c r="C1541" s="119">
        <v>11251</v>
      </c>
    </row>
    <row r="1542" spans="2:3" x14ac:dyDescent="0.35">
      <c r="B1542" s="517">
        <v>43893</v>
      </c>
      <c r="C1542" s="119">
        <v>11303.3</v>
      </c>
    </row>
    <row r="1543" spans="2:3" x14ac:dyDescent="0.35">
      <c r="B1543" s="517">
        <v>43892</v>
      </c>
      <c r="C1543" s="119">
        <v>11132.75</v>
      </c>
    </row>
    <row r="1544" spans="2:3" x14ac:dyDescent="0.35">
      <c r="B1544" s="517">
        <v>43889</v>
      </c>
      <c r="C1544" s="119">
        <v>11201.75</v>
      </c>
    </row>
    <row r="1545" spans="2:3" x14ac:dyDescent="0.35">
      <c r="B1545" s="517">
        <v>43888</v>
      </c>
      <c r="C1545" s="119">
        <v>11633.3</v>
      </c>
    </row>
    <row r="1546" spans="2:3" x14ac:dyDescent="0.35">
      <c r="B1546" s="517">
        <v>43887</v>
      </c>
      <c r="C1546" s="119">
        <v>11678.5</v>
      </c>
    </row>
    <row r="1547" spans="2:3" x14ac:dyDescent="0.35">
      <c r="B1547" s="517">
        <v>43886</v>
      </c>
      <c r="C1547" s="119">
        <v>11797.9</v>
      </c>
    </row>
    <row r="1548" spans="2:3" x14ac:dyDescent="0.35">
      <c r="B1548" s="517">
        <v>43885</v>
      </c>
      <c r="C1548" s="119">
        <v>11829.4</v>
      </c>
    </row>
    <row r="1549" spans="2:3" x14ac:dyDescent="0.35">
      <c r="B1549" s="517">
        <v>43881</v>
      </c>
      <c r="C1549" s="119">
        <v>12080.85</v>
      </c>
    </row>
    <row r="1550" spans="2:3" x14ac:dyDescent="0.35">
      <c r="B1550" s="517">
        <v>43880</v>
      </c>
      <c r="C1550" s="119">
        <v>12125.9</v>
      </c>
    </row>
    <row r="1551" spans="2:3" x14ac:dyDescent="0.35">
      <c r="B1551" s="517">
        <v>43879</v>
      </c>
      <c r="C1551" s="119">
        <v>11992.5</v>
      </c>
    </row>
    <row r="1552" spans="2:3" x14ac:dyDescent="0.35">
      <c r="B1552" s="517">
        <v>43878</v>
      </c>
      <c r="C1552" s="119">
        <v>12045.8</v>
      </c>
    </row>
    <row r="1553" spans="2:3" x14ac:dyDescent="0.35">
      <c r="B1553" s="517">
        <v>43875</v>
      </c>
      <c r="C1553" s="119">
        <v>12113.45</v>
      </c>
    </row>
    <row r="1554" spans="2:3" x14ac:dyDescent="0.35">
      <c r="B1554" s="517">
        <v>43874</v>
      </c>
      <c r="C1554" s="119">
        <v>12174.65</v>
      </c>
    </row>
    <row r="1555" spans="2:3" x14ac:dyDescent="0.35">
      <c r="B1555" s="517">
        <v>43873</v>
      </c>
      <c r="C1555" s="119">
        <v>12201.2</v>
      </c>
    </row>
    <row r="1556" spans="2:3" x14ac:dyDescent="0.35">
      <c r="B1556" s="517">
        <v>43872</v>
      </c>
      <c r="C1556" s="119">
        <v>12107.9</v>
      </c>
    </row>
    <row r="1557" spans="2:3" x14ac:dyDescent="0.35">
      <c r="B1557" s="517">
        <v>43871</v>
      </c>
      <c r="C1557" s="119">
        <v>12031.5</v>
      </c>
    </row>
    <row r="1558" spans="2:3" x14ac:dyDescent="0.35">
      <c r="B1558" s="517">
        <v>43868</v>
      </c>
      <c r="C1558" s="119">
        <v>12098.35</v>
      </c>
    </row>
    <row r="1559" spans="2:3" x14ac:dyDescent="0.35">
      <c r="B1559" s="517">
        <v>43867</v>
      </c>
      <c r="C1559" s="119">
        <v>12137.95</v>
      </c>
    </row>
    <row r="1560" spans="2:3" x14ac:dyDescent="0.35">
      <c r="B1560" s="517">
        <v>43866</v>
      </c>
      <c r="C1560" s="119">
        <v>12089.15</v>
      </c>
    </row>
    <row r="1561" spans="2:3" x14ac:dyDescent="0.35">
      <c r="B1561" s="517">
        <v>43865</v>
      </c>
      <c r="C1561" s="119">
        <v>11979.65</v>
      </c>
    </row>
    <row r="1562" spans="2:3" x14ac:dyDescent="0.35">
      <c r="B1562" s="517">
        <v>43864</v>
      </c>
      <c r="C1562" s="119">
        <v>11707.9</v>
      </c>
    </row>
    <row r="1563" spans="2:3" x14ac:dyDescent="0.35">
      <c r="B1563" s="517">
        <v>43862</v>
      </c>
      <c r="C1563" s="119">
        <v>11661.85</v>
      </c>
    </row>
    <row r="1564" spans="2:3" x14ac:dyDescent="0.35">
      <c r="B1564" s="517">
        <v>43861</v>
      </c>
      <c r="C1564" s="119">
        <v>11962.1</v>
      </c>
    </row>
    <row r="1565" spans="2:3" x14ac:dyDescent="0.35">
      <c r="B1565" s="517">
        <v>43860</v>
      </c>
      <c r="C1565" s="119">
        <v>12035.8</v>
      </c>
    </row>
    <row r="1566" spans="2:3" x14ac:dyDescent="0.35">
      <c r="B1566" s="517">
        <v>43859</v>
      </c>
      <c r="C1566" s="119">
        <v>12129.5</v>
      </c>
    </row>
    <row r="1567" spans="2:3" x14ac:dyDescent="0.35">
      <c r="B1567" s="517">
        <v>43858</v>
      </c>
      <c r="C1567" s="119">
        <v>12055.8</v>
      </c>
    </row>
    <row r="1568" spans="2:3" x14ac:dyDescent="0.35">
      <c r="B1568" s="517">
        <v>43857</v>
      </c>
      <c r="C1568" s="119">
        <v>12119</v>
      </c>
    </row>
    <row r="1569" spans="2:3" x14ac:dyDescent="0.35">
      <c r="B1569" s="517">
        <v>43854</v>
      </c>
      <c r="C1569" s="119">
        <v>12248.25</v>
      </c>
    </row>
    <row r="1570" spans="2:3" x14ac:dyDescent="0.35">
      <c r="B1570" s="517">
        <v>43853</v>
      </c>
      <c r="C1570" s="119">
        <v>12180.35</v>
      </c>
    </row>
    <row r="1571" spans="2:3" x14ac:dyDescent="0.35">
      <c r="B1571" s="517">
        <v>43852</v>
      </c>
      <c r="C1571" s="119">
        <v>12106.9</v>
      </c>
    </row>
    <row r="1572" spans="2:3" x14ac:dyDescent="0.35">
      <c r="B1572" s="517">
        <v>43851</v>
      </c>
      <c r="C1572" s="119">
        <v>12169.85</v>
      </c>
    </row>
    <row r="1573" spans="2:3" x14ac:dyDescent="0.35">
      <c r="B1573" s="517">
        <v>43850</v>
      </c>
      <c r="C1573" s="119">
        <v>12224.55</v>
      </c>
    </row>
    <row r="1574" spans="2:3" x14ac:dyDescent="0.35">
      <c r="B1574" s="517">
        <v>43847</v>
      </c>
      <c r="C1574" s="119">
        <v>12352.35</v>
      </c>
    </row>
    <row r="1575" spans="2:3" x14ac:dyDescent="0.35">
      <c r="B1575" s="517">
        <v>43846</v>
      </c>
      <c r="C1575" s="119">
        <v>12355.5</v>
      </c>
    </row>
    <row r="1576" spans="2:3" x14ac:dyDescent="0.35">
      <c r="B1576" s="517">
        <v>43845</v>
      </c>
      <c r="C1576" s="119">
        <v>12343.3</v>
      </c>
    </row>
    <row r="1577" spans="2:3" x14ac:dyDescent="0.35">
      <c r="B1577" s="517">
        <v>43844</v>
      </c>
      <c r="C1577" s="119">
        <v>12362.3</v>
      </c>
    </row>
    <row r="1578" spans="2:3" x14ac:dyDescent="0.35">
      <c r="B1578" s="517">
        <v>43843</v>
      </c>
      <c r="C1578" s="119">
        <v>12329.55</v>
      </c>
    </row>
    <row r="1579" spans="2:3" x14ac:dyDescent="0.35">
      <c r="B1579" s="517">
        <v>43840</v>
      </c>
      <c r="C1579" s="119">
        <v>12256.8</v>
      </c>
    </row>
    <row r="1580" spans="2:3" x14ac:dyDescent="0.35">
      <c r="B1580" s="517">
        <v>43839</v>
      </c>
      <c r="C1580" s="119">
        <v>12215.9</v>
      </c>
    </row>
    <row r="1581" spans="2:3" x14ac:dyDescent="0.35">
      <c r="B1581" s="517">
        <v>43838</v>
      </c>
      <c r="C1581" s="119">
        <v>12025.35</v>
      </c>
    </row>
    <row r="1582" spans="2:3" x14ac:dyDescent="0.35">
      <c r="B1582" s="517">
        <v>43837</v>
      </c>
      <c r="C1582" s="119">
        <v>12052.95</v>
      </c>
    </row>
    <row r="1583" spans="2:3" x14ac:dyDescent="0.35">
      <c r="B1583" s="517">
        <v>43836</v>
      </c>
      <c r="C1583" s="119">
        <v>11993.05</v>
      </c>
    </row>
    <row r="1584" spans="2:3" x14ac:dyDescent="0.35">
      <c r="B1584" s="517">
        <v>43833</v>
      </c>
      <c r="C1584" s="119">
        <v>12226.65</v>
      </c>
    </row>
    <row r="1585" spans="2:3" x14ac:dyDescent="0.35">
      <c r="B1585" s="517">
        <v>43832</v>
      </c>
      <c r="C1585" s="119">
        <v>12282.2</v>
      </c>
    </row>
    <row r="1586" spans="2:3" x14ac:dyDescent="0.35">
      <c r="B1586" s="517">
        <v>43831</v>
      </c>
      <c r="C1586" s="119">
        <v>12182.5</v>
      </c>
    </row>
    <row r="1587" spans="2:3" x14ac:dyDescent="0.35">
      <c r="B1587" s="517">
        <v>43830</v>
      </c>
      <c r="C1587" s="119">
        <v>12168.45</v>
      </c>
    </row>
    <row r="1588" spans="2:3" x14ac:dyDescent="0.35">
      <c r="B1588" s="517">
        <v>43829</v>
      </c>
      <c r="C1588" s="119">
        <v>12255.85</v>
      </c>
    </row>
    <row r="1589" spans="2:3" x14ac:dyDescent="0.35">
      <c r="B1589" s="517">
        <v>43826</v>
      </c>
      <c r="C1589" s="119">
        <v>12245.8</v>
      </c>
    </row>
    <row r="1590" spans="2:3" x14ac:dyDescent="0.35">
      <c r="B1590" s="517">
        <v>43825</v>
      </c>
      <c r="C1590" s="119">
        <v>12126.55</v>
      </c>
    </row>
    <row r="1591" spans="2:3" x14ac:dyDescent="0.35">
      <c r="B1591" s="517">
        <v>43823</v>
      </c>
      <c r="C1591" s="119">
        <v>12214.55</v>
      </c>
    </row>
    <row r="1592" spans="2:3" x14ac:dyDescent="0.35">
      <c r="B1592" s="517">
        <v>43822</v>
      </c>
      <c r="C1592" s="119">
        <v>12262.75</v>
      </c>
    </row>
    <row r="1593" spans="2:3" x14ac:dyDescent="0.35">
      <c r="B1593" s="517">
        <v>43819</v>
      </c>
      <c r="C1593" s="119">
        <v>12271.8</v>
      </c>
    </row>
    <row r="1594" spans="2:3" x14ac:dyDescent="0.35">
      <c r="B1594" s="517">
        <v>43818</v>
      </c>
      <c r="C1594" s="119">
        <v>12259.7</v>
      </c>
    </row>
    <row r="1595" spans="2:3" x14ac:dyDescent="0.35">
      <c r="B1595" s="517">
        <v>43817</v>
      </c>
      <c r="C1595" s="119">
        <v>12221.65</v>
      </c>
    </row>
    <row r="1596" spans="2:3" x14ac:dyDescent="0.35">
      <c r="B1596" s="517">
        <v>43816</v>
      </c>
      <c r="C1596" s="119">
        <v>12165</v>
      </c>
    </row>
    <row r="1597" spans="2:3" x14ac:dyDescent="0.35">
      <c r="B1597" s="517">
        <v>43815</v>
      </c>
      <c r="C1597" s="119">
        <v>12053.95</v>
      </c>
    </row>
    <row r="1598" spans="2:3" x14ac:dyDescent="0.35">
      <c r="B1598" s="517">
        <v>43812</v>
      </c>
      <c r="C1598" s="119">
        <v>12086.7</v>
      </c>
    </row>
    <row r="1599" spans="2:3" x14ac:dyDescent="0.35">
      <c r="B1599" s="517">
        <v>43811</v>
      </c>
      <c r="C1599" s="119">
        <v>11971.8</v>
      </c>
    </row>
    <row r="1600" spans="2:3" x14ac:dyDescent="0.35">
      <c r="B1600" s="517">
        <v>43810</v>
      </c>
      <c r="C1600" s="119">
        <v>11910.15</v>
      </c>
    </row>
    <row r="1601" spans="2:3" x14ac:dyDescent="0.35">
      <c r="B1601" s="517">
        <v>43809</v>
      </c>
      <c r="C1601" s="119">
        <v>11856.8</v>
      </c>
    </row>
    <row r="1602" spans="2:3" x14ac:dyDescent="0.35">
      <c r="B1602" s="517">
        <v>43808</v>
      </c>
      <c r="C1602" s="119">
        <v>11937.5</v>
      </c>
    </row>
    <row r="1603" spans="2:3" x14ac:dyDescent="0.35">
      <c r="B1603" s="517">
        <v>43805</v>
      </c>
      <c r="C1603" s="119">
        <v>11921.5</v>
      </c>
    </row>
    <row r="1604" spans="2:3" x14ac:dyDescent="0.35">
      <c r="B1604" s="517">
        <v>43804</v>
      </c>
      <c r="C1604" s="119">
        <v>12018.4</v>
      </c>
    </row>
    <row r="1605" spans="2:3" x14ac:dyDescent="0.35">
      <c r="B1605" s="517">
        <v>43803</v>
      </c>
      <c r="C1605" s="119">
        <v>12043.2</v>
      </c>
    </row>
    <row r="1606" spans="2:3" x14ac:dyDescent="0.35">
      <c r="B1606" s="517">
        <v>43802</v>
      </c>
      <c r="C1606" s="119">
        <v>11994.2</v>
      </c>
    </row>
    <row r="1607" spans="2:3" x14ac:dyDescent="0.35">
      <c r="B1607" s="517">
        <v>43801</v>
      </c>
      <c r="C1607" s="119">
        <v>12048.2</v>
      </c>
    </row>
    <row r="1608" spans="2:3" x14ac:dyDescent="0.35">
      <c r="B1608" s="517">
        <v>43798</v>
      </c>
      <c r="C1608" s="119">
        <v>12056.05</v>
      </c>
    </row>
    <row r="1609" spans="2:3" x14ac:dyDescent="0.35">
      <c r="B1609" s="517">
        <v>43797</v>
      </c>
      <c r="C1609" s="119">
        <v>12151.15</v>
      </c>
    </row>
    <row r="1610" spans="2:3" x14ac:dyDescent="0.35">
      <c r="B1610" s="517">
        <v>43796</v>
      </c>
      <c r="C1610" s="119">
        <v>12100.7</v>
      </c>
    </row>
    <row r="1611" spans="2:3" x14ac:dyDescent="0.35">
      <c r="B1611" s="517">
        <v>43795</v>
      </c>
      <c r="C1611" s="119">
        <v>12037.7</v>
      </c>
    </row>
    <row r="1612" spans="2:3" x14ac:dyDescent="0.35">
      <c r="B1612" s="517">
        <v>43794</v>
      </c>
      <c r="C1612" s="119">
        <v>12073.75</v>
      </c>
    </row>
    <row r="1613" spans="2:3" x14ac:dyDescent="0.35">
      <c r="B1613" s="517">
        <v>43791</v>
      </c>
      <c r="C1613" s="119">
        <v>11914.4</v>
      </c>
    </row>
    <row r="1614" spans="2:3" x14ac:dyDescent="0.35">
      <c r="B1614" s="517">
        <v>43790</v>
      </c>
      <c r="C1614" s="119">
        <v>11968.4</v>
      </c>
    </row>
    <row r="1615" spans="2:3" x14ac:dyDescent="0.35">
      <c r="B1615" s="517">
        <v>43789</v>
      </c>
      <c r="C1615" s="119">
        <v>11999.1</v>
      </c>
    </row>
    <row r="1616" spans="2:3" x14ac:dyDescent="0.35">
      <c r="B1616" s="517">
        <v>43788</v>
      </c>
      <c r="C1616" s="119">
        <v>11940.1</v>
      </c>
    </row>
    <row r="1617" spans="2:3" x14ac:dyDescent="0.35">
      <c r="B1617" s="517">
        <v>43787</v>
      </c>
      <c r="C1617" s="119">
        <v>11884.5</v>
      </c>
    </row>
    <row r="1618" spans="2:3" x14ac:dyDescent="0.35">
      <c r="B1618" s="517">
        <v>43784</v>
      </c>
      <c r="C1618" s="119">
        <v>11895.45</v>
      </c>
    </row>
    <row r="1619" spans="2:3" x14ac:dyDescent="0.35">
      <c r="B1619" s="517">
        <v>43783</v>
      </c>
      <c r="C1619" s="119">
        <v>11872.1</v>
      </c>
    </row>
    <row r="1620" spans="2:3" x14ac:dyDescent="0.35">
      <c r="B1620" s="517">
        <v>43782</v>
      </c>
      <c r="C1620" s="119">
        <v>11840.45</v>
      </c>
    </row>
    <row r="1621" spans="2:3" x14ac:dyDescent="0.35">
      <c r="B1621" s="517">
        <v>43780</v>
      </c>
      <c r="C1621" s="119">
        <v>11913.45</v>
      </c>
    </row>
    <row r="1622" spans="2:3" x14ac:dyDescent="0.35">
      <c r="B1622" s="517">
        <v>43777</v>
      </c>
      <c r="C1622" s="119">
        <v>11908.15</v>
      </c>
    </row>
    <row r="1623" spans="2:3" x14ac:dyDescent="0.35">
      <c r="B1623" s="517">
        <v>43776</v>
      </c>
      <c r="C1623" s="119">
        <v>12012.05</v>
      </c>
    </row>
    <row r="1624" spans="2:3" x14ac:dyDescent="0.35">
      <c r="B1624" s="517">
        <v>43775</v>
      </c>
      <c r="C1624" s="119">
        <v>11966.05</v>
      </c>
    </row>
    <row r="1625" spans="2:3" x14ac:dyDescent="0.35">
      <c r="B1625" s="517">
        <v>43774</v>
      </c>
      <c r="C1625" s="119">
        <v>11917.2</v>
      </c>
    </row>
    <row r="1626" spans="2:3" x14ac:dyDescent="0.35">
      <c r="B1626" s="517">
        <v>43773</v>
      </c>
      <c r="C1626" s="119">
        <v>11941.3</v>
      </c>
    </row>
    <row r="1627" spans="2:3" x14ac:dyDescent="0.35">
      <c r="B1627" s="517">
        <v>43770</v>
      </c>
      <c r="C1627" s="119">
        <v>11890.6</v>
      </c>
    </row>
    <row r="1628" spans="2:3" x14ac:dyDescent="0.35">
      <c r="B1628" s="517">
        <v>43769</v>
      </c>
      <c r="C1628" s="119">
        <v>11877.45</v>
      </c>
    </row>
    <row r="1629" spans="2:3" x14ac:dyDescent="0.35">
      <c r="B1629" s="517">
        <v>43768</v>
      </c>
      <c r="C1629" s="119">
        <v>11844.1</v>
      </c>
    </row>
    <row r="1630" spans="2:3" x14ac:dyDescent="0.35">
      <c r="B1630" s="517">
        <v>43767</v>
      </c>
      <c r="C1630" s="119">
        <v>11786.85</v>
      </c>
    </row>
    <row r="1631" spans="2:3" x14ac:dyDescent="0.35">
      <c r="B1631" s="517">
        <v>43765</v>
      </c>
      <c r="C1631" s="119">
        <v>11627.15</v>
      </c>
    </row>
    <row r="1632" spans="2:3" x14ac:dyDescent="0.35">
      <c r="B1632" s="517">
        <v>43763</v>
      </c>
      <c r="C1632" s="119">
        <v>11583.9</v>
      </c>
    </row>
    <row r="1633" spans="2:3" x14ac:dyDescent="0.35">
      <c r="B1633" s="517">
        <v>43762</v>
      </c>
      <c r="C1633" s="119">
        <v>11582.6</v>
      </c>
    </row>
    <row r="1634" spans="2:3" x14ac:dyDescent="0.35">
      <c r="B1634" s="517">
        <v>43761</v>
      </c>
      <c r="C1634" s="119">
        <v>11604.1</v>
      </c>
    </row>
    <row r="1635" spans="2:3" x14ac:dyDescent="0.35">
      <c r="B1635" s="517">
        <v>43760</v>
      </c>
      <c r="C1635" s="119">
        <v>11588.35</v>
      </c>
    </row>
    <row r="1636" spans="2:3" x14ac:dyDescent="0.35">
      <c r="B1636" s="517">
        <v>43756</v>
      </c>
      <c r="C1636" s="119">
        <v>11661.85</v>
      </c>
    </row>
    <row r="1637" spans="2:3" x14ac:dyDescent="0.35">
      <c r="B1637" s="517">
        <v>43755</v>
      </c>
      <c r="C1637" s="119">
        <v>11586.35</v>
      </c>
    </row>
    <row r="1638" spans="2:3" x14ac:dyDescent="0.35">
      <c r="B1638" s="517">
        <v>43754</v>
      </c>
      <c r="C1638" s="119">
        <v>11464</v>
      </c>
    </row>
    <row r="1639" spans="2:3" x14ac:dyDescent="0.35">
      <c r="B1639" s="517">
        <v>43753</v>
      </c>
      <c r="C1639" s="119">
        <v>11428.3</v>
      </c>
    </row>
    <row r="1640" spans="2:3" x14ac:dyDescent="0.35">
      <c r="B1640" s="517">
        <v>43752</v>
      </c>
      <c r="C1640" s="119">
        <v>11341.15</v>
      </c>
    </row>
    <row r="1641" spans="2:3" x14ac:dyDescent="0.35">
      <c r="B1641" s="517">
        <v>43749</v>
      </c>
      <c r="C1641" s="119">
        <v>11305.05</v>
      </c>
    </row>
    <row r="1642" spans="2:3" x14ac:dyDescent="0.35">
      <c r="B1642" s="517">
        <v>43748</v>
      </c>
      <c r="C1642" s="119">
        <v>11234.55</v>
      </c>
    </row>
    <row r="1643" spans="2:3" x14ac:dyDescent="0.35">
      <c r="B1643" s="517">
        <v>43747</v>
      </c>
      <c r="C1643" s="119">
        <v>11313.3</v>
      </c>
    </row>
    <row r="1644" spans="2:3" x14ac:dyDescent="0.35">
      <c r="B1644" s="517">
        <v>43745</v>
      </c>
      <c r="C1644" s="119">
        <v>11126.4</v>
      </c>
    </row>
    <row r="1645" spans="2:3" x14ac:dyDescent="0.35">
      <c r="B1645" s="517">
        <v>43742</v>
      </c>
      <c r="C1645" s="119">
        <v>11174.75</v>
      </c>
    </row>
    <row r="1646" spans="2:3" x14ac:dyDescent="0.35">
      <c r="B1646" s="517">
        <v>43741</v>
      </c>
      <c r="C1646" s="119">
        <v>11314</v>
      </c>
    </row>
    <row r="1647" spans="2:3" x14ac:dyDescent="0.35">
      <c r="B1647" s="517">
        <v>43739</v>
      </c>
      <c r="C1647" s="119">
        <v>11359.9</v>
      </c>
    </row>
    <row r="1648" spans="2:3" x14ac:dyDescent="0.35">
      <c r="B1648" s="517">
        <v>43738</v>
      </c>
      <c r="C1648" s="119">
        <v>11474.45</v>
      </c>
    </row>
    <row r="1649" spans="2:3" x14ac:dyDescent="0.35">
      <c r="B1649" s="517">
        <v>43735</v>
      </c>
      <c r="C1649" s="119">
        <v>11512.4</v>
      </c>
    </row>
    <row r="1650" spans="2:3" x14ac:dyDescent="0.35">
      <c r="B1650" s="517">
        <v>43734</v>
      </c>
      <c r="C1650" s="119">
        <v>11571.2</v>
      </c>
    </row>
    <row r="1651" spans="2:3" x14ac:dyDescent="0.35">
      <c r="B1651" s="517">
        <v>43733</v>
      </c>
      <c r="C1651" s="119">
        <v>11440.2</v>
      </c>
    </row>
    <row r="1652" spans="2:3" x14ac:dyDescent="0.35">
      <c r="B1652" s="517">
        <v>43732</v>
      </c>
      <c r="C1652" s="119">
        <v>11588.2</v>
      </c>
    </row>
    <row r="1653" spans="2:3" x14ac:dyDescent="0.35">
      <c r="B1653" s="517">
        <v>43731</v>
      </c>
      <c r="C1653" s="119">
        <v>11600.2</v>
      </c>
    </row>
    <row r="1654" spans="2:3" x14ac:dyDescent="0.35">
      <c r="B1654" s="517">
        <v>43728</v>
      </c>
      <c r="C1654" s="119">
        <v>11274.2</v>
      </c>
    </row>
    <row r="1655" spans="2:3" x14ac:dyDescent="0.35">
      <c r="B1655" s="517">
        <v>43727</v>
      </c>
      <c r="C1655" s="119">
        <v>10704.8</v>
      </c>
    </row>
    <row r="1656" spans="2:3" x14ac:dyDescent="0.35">
      <c r="B1656" s="517">
        <v>43726</v>
      </c>
      <c r="C1656" s="119">
        <v>10840.65</v>
      </c>
    </row>
    <row r="1657" spans="2:3" x14ac:dyDescent="0.35">
      <c r="B1657" s="517">
        <v>43725</v>
      </c>
      <c r="C1657" s="119">
        <v>10817.6</v>
      </c>
    </row>
    <row r="1658" spans="2:3" x14ac:dyDescent="0.35">
      <c r="B1658" s="517">
        <v>43724</v>
      </c>
      <c r="C1658" s="119">
        <v>11003.5</v>
      </c>
    </row>
    <row r="1659" spans="2:3" x14ac:dyDescent="0.35">
      <c r="B1659" s="517">
        <v>43721</v>
      </c>
      <c r="C1659" s="119">
        <v>11075.9</v>
      </c>
    </row>
    <row r="1660" spans="2:3" x14ac:dyDescent="0.35">
      <c r="B1660" s="517">
        <v>43720</v>
      </c>
      <c r="C1660" s="119">
        <v>10982.8</v>
      </c>
    </row>
    <row r="1661" spans="2:3" x14ac:dyDescent="0.35">
      <c r="B1661" s="517">
        <v>43719</v>
      </c>
      <c r="C1661" s="119">
        <v>11035.7</v>
      </c>
    </row>
    <row r="1662" spans="2:3" x14ac:dyDescent="0.35">
      <c r="B1662" s="517">
        <v>43717</v>
      </c>
      <c r="C1662" s="119">
        <v>11003.05</v>
      </c>
    </row>
    <row r="1663" spans="2:3" x14ac:dyDescent="0.35">
      <c r="B1663" s="517">
        <v>43714</v>
      </c>
      <c r="C1663" s="119">
        <v>10946.2</v>
      </c>
    </row>
    <row r="1664" spans="2:3" x14ac:dyDescent="0.35">
      <c r="B1664" s="517">
        <v>43713</v>
      </c>
      <c r="C1664" s="119">
        <v>10847.9</v>
      </c>
    </row>
    <row r="1665" spans="2:3" x14ac:dyDescent="0.35">
      <c r="B1665" s="517">
        <v>43712</v>
      </c>
      <c r="C1665" s="119">
        <v>10844.65</v>
      </c>
    </row>
    <row r="1666" spans="2:3" x14ac:dyDescent="0.35">
      <c r="B1666" s="517">
        <v>43711</v>
      </c>
      <c r="C1666" s="119">
        <v>10797.9</v>
      </c>
    </row>
    <row r="1667" spans="2:3" x14ac:dyDescent="0.35">
      <c r="B1667" s="517">
        <v>43707</v>
      </c>
      <c r="C1667" s="119">
        <v>11023.25</v>
      </c>
    </row>
    <row r="1668" spans="2:3" x14ac:dyDescent="0.35">
      <c r="B1668" s="517">
        <v>43706</v>
      </c>
      <c r="C1668" s="119">
        <v>10948.3</v>
      </c>
    </row>
    <row r="1669" spans="2:3" x14ac:dyDescent="0.35">
      <c r="B1669" s="517">
        <v>43705</v>
      </c>
      <c r="C1669" s="119">
        <v>11046.1</v>
      </c>
    </row>
    <row r="1670" spans="2:3" x14ac:dyDescent="0.35">
      <c r="B1670" s="517">
        <v>43704</v>
      </c>
      <c r="C1670" s="119">
        <v>11105.35</v>
      </c>
    </row>
    <row r="1671" spans="2:3" x14ac:dyDescent="0.35">
      <c r="B1671" s="517">
        <v>43703</v>
      </c>
      <c r="C1671" s="119">
        <v>11057.85</v>
      </c>
    </row>
    <row r="1672" spans="2:3" x14ac:dyDescent="0.35">
      <c r="B1672" s="517">
        <v>43700</v>
      </c>
      <c r="C1672" s="119">
        <v>10829.35</v>
      </c>
    </row>
    <row r="1673" spans="2:3" x14ac:dyDescent="0.35">
      <c r="B1673" s="517">
        <v>43699</v>
      </c>
      <c r="C1673" s="119">
        <v>10741.35</v>
      </c>
    </row>
    <row r="1674" spans="2:3" x14ac:dyDescent="0.35">
      <c r="B1674" s="517">
        <v>43698</v>
      </c>
      <c r="C1674" s="119">
        <v>10918.7</v>
      </c>
    </row>
    <row r="1675" spans="2:3" x14ac:dyDescent="0.35">
      <c r="B1675" s="517">
        <v>43697</v>
      </c>
      <c r="C1675" s="119">
        <v>11017</v>
      </c>
    </row>
    <row r="1676" spans="2:3" x14ac:dyDescent="0.35">
      <c r="B1676" s="517">
        <v>43696</v>
      </c>
      <c r="C1676" s="119">
        <v>11053.9</v>
      </c>
    </row>
    <row r="1677" spans="2:3" x14ac:dyDescent="0.35">
      <c r="B1677" s="517">
        <v>43693</v>
      </c>
      <c r="C1677" s="119">
        <v>11047.8</v>
      </c>
    </row>
    <row r="1678" spans="2:3" x14ac:dyDescent="0.35">
      <c r="B1678" s="517">
        <v>43691</v>
      </c>
      <c r="C1678" s="119">
        <v>11029.4</v>
      </c>
    </row>
    <row r="1679" spans="2:3" x14ac:dyDescent="0.35">
      <c r="B1679" s="517">
        <v>43690</v>
      </c>
      <c r="C1679" s="119">
        <v>10925.85</v>
      </c>
    </row>
    <row r="1680" spans="2:3" x14ac:dyDescent="0.35">
      <c r="B1680" s="517">
        <v>43686</v>
      </c>
      <c r="C1680" s="119">
        <v>11109.65</v>
      </c>
    </row>
    <row r="1681" spans="2:3" x14ac:dyDescent="0.35">
      <c r="B1681" s="517">
        <v>43685</v>
      </c>
      <c r="C1681" s="119">
        <v>11032.45</v>
      </c>
    </row>
    <row r="1682" spans="2:3" x14ac:dyDescent="0.35">
      <c r="B1682" s="517">
        <v>43684</v>
      </c>
      <c r="C1682" s="119">
        <v>10855.5</v>
      </c>
    </row>
    <row r="1683" spans="2:3" x14ac:dyDescent="0.35">
      <c r="B1683" s="517">
        <v>43683</v>
      </c>
      <c r="C1683" s="119">
        <v>10948.25</v>
      </c>
    </row>
    <row r="1684" spans="2:3" x14ac:dyDescent="0.35">
      <c r="B1684" s="517">
        <v>43682</v>
      </c>
      <c r="C1684" s="119">
        <v>10862.6</v>
      </c>
    </row>
    <row r="1685" spans="2:3" x14ac:dyDescent="0.35">
      <c r="B1685" s="517">
        <v>43679</v>
      </c>
      <c r="C1685" s="119">
        <v>10997.35</v>
      </c>
    </row>
    <row r="1686" spans="2:3" x14ac:dyDescent="0.35">
      <c r="B1686" s="517">
        <v>43678</v>
      </c>
      <c r="C1686" s="119">
        <v>10980</v>
      </c>
    </row>
    <row r="1687" spans="2:3" x14ac:dyDescent="0.35">
      <c r="B1687" s="517">
        <v>43677</v>
      </c>
      <c r="C1687" s="119">
        <v>11118</v>
      </c>
    </row>
    <row r="1688" spans="2:3" x14ac:dyDescent="0.35">
      <c r="B1688" s="517">
        <v>43676</v>
      </c>
      <c r="C1688" s="119">
        <v>11085.4</v>
      </c>
    </row>
    <row r="1689" spans="2:3" x14ac:dyDescent="0.35">
      <c r="B1689" s="517">
        <v>43675</v>
      </c>
      <c r="C1689" s="119">
        <v>11189.2</v>
      </c>
    </row>
    <row r="1690" spans="2:3" x14ac:dyDescent="0.35">
      <c r="B1690" s="517">
        <v>43672</v>
      </c>
      <c r="C1690" s="119">
        <v>11284.3</v>
      </c>
    </row>
    <row r="1691" spans="2:3" x14ac:dyDescent="0.35">
      <c r="B1691" s="517">
        <v>43671</v>
      </c>
      <c r="C1691" s="119">
        <v>11252.15</v>
      </c>
    </row>
    <row r="1692" spans="2:3" x14ac:dyDescent="0.35">
      <c r="B1692" s="517">
        <v>43670</v>
      </c>
      <c r="C1692" s="119">
        <v>11271.3</v>
      </c>
    </row>
    <row r="1693" spans="2:3" x14ac:dyDescent="0.35">
      <c r="B1693" s="517">
        <v>43669</v>
      </c>
      <c r="C1693" s="119">
        <v>11331.05</v>
      </c>
    </row>
    <row r="1694" spans="2:3" x14ac:dyDescent="0.35">
      <c r="B1694" s="517">
        <v>43668</v>
      </c>
      <c r="C1694" s="119">
        <v>11346.2</v>
      </c>
    </row>
    <row r="1695" spans="2:3" x14ac:dyDescent="0.35">
      <c r="B1695" s="517">
        <v>43665</v>
      </c>
      <c r="C1695" s="119">
        <v>11419.25</v>
      </c>
    </row>
    <row r="1696" spans="2:3" x14ac:dyDescent="0.35">
      <c r="B1696" s="517">
        <v>43664</v>
      </c>
      <c r="C1696" s="119">
        <v>11596.9</v>
      </c>
    </row>
    <row r="1697" spans="2:3" x14ac:dyDescent="0.35">
      <c r="B1697" s="517">
        <v>43663</v>
      </c>
      <c r="C1697" s="119">
        <v>11687.5</v>
      </c>
    </row>
    <row r="1698" spans="2:3" x14ac:dyDescent="0.35">
      <c r="B1698" s="517">
        <v>43662</v>
      </c>
      <c r="C1698" s="119">
        <v>11662.6</v>
      </c>
    </row>
    <row r="1699" spans="2:3" x14ac:dyDescent="0.35">
      <c r="B1699" s="517">
        <v>43661</v>
      </c>
      <c r="C1699" s="119">
        <v>11588.35</v>
      </c>
    </row>
    <row r="1700" spans="2:3" x14ac:dyDescent="0.35">
      <c r="B1700" s="517">
        <v>43658</v>
      </c>
      <c r="C1700" s="119">
        <v>11552.5</v>
      </c>
    </row>
    <row r="1701" spans="2:3" x14ac:dyDescent="0.35">
      <c r="B1701" s="517">
        <v>43657</v>
      </c>
      <c r="C1701" s="119">
        <v>11582.9</v>
      </c>
    </row>
    <row r="1702" spans="2:3" x14ac:dyDescent="0.35">
      <c r="B1702" s="517">
        <v>43656</v>
      </c>
      <c r="C1702" s="119">
        <v>11498.9</v>
      </c>
    </row>
    <row r="1703" spans="2:3" x14ac:dyDescent="0.35">
      <c r="B1703" s="517">
        <v>43655</v>
      </c>
      <c r="C1703" s="119">
        <v>11555.9</v>
      </c>
    </row>
    <row r="1704" spans="2:3" x14ac:dyDescent="0.35">
      <c r="B1704" s="517">
        <v>43654</v>
      </c>
      <c r="C1704" s="119">
        <v>11558.6</v>
      </c>
    </row>
    <row r="1705" spans="2:3" x14ac:dyDescent="0.35">
      <c r="B1705" s="517">
        <v>43651</v>
      </c>
      <c r="C1705" s="119">
        <v>11811.15</v>
      </c>
    </row>
    <row r="1706" spans="2:3" x14ac:dyDescent="0.35">
      <c r="B1706" s="517">
        <v>43650</v>
      </c>
      <c r="C1706" s="119">
        <v>11946.75</v>
      </c>
    </row>
    <row r="1707" spans="2:3" x14ac:dyDescent="0.35">
      <c r="B1707" s="517">
        <v>43649</v>
      </c>
      <c r="C1707" s="119">
        <v>11916.75</v>
      </c>
    </row>
    <row r="1708" spans="2:3" x14ac:dyDescent="0.35">
      <c r="B1708" s="517">
        <v>43648</v>
      </c>
      <c r="C1708" s="119">
        <v>11910.3</v>
      </c>
    </row>
    <row r="1709" spans="2:3" x14ac:dyDescent="0.35">
      <c r="B1709" s="517">
        <v>43647</v>
      </c>
      <c r="C1709" s="119">
        <v>11865.6</v>
      </c>
    </row>
    <row r="1710" spans="2:3" x14ac:dyDescent="0.35">
      <c r="B1710" s="517">
        <v>43644</v>
      </c>
      <c r="C1710" s="119">
        <v>11788.85</v>
      </c>
    </row>
    <row r="1711" spans="2:3" x14ac:dyDescent="0.35">
      <c r="B1711" s="517">
        <v>43643</v>
      </c>
      <c r="C1711" s="119">
        <v>11841.55</v>
      </c>
    </row>
    <row r="1712" spans="2:3" x14ac:dyDescent="0.35">
      <c r="B1712" s="517">
        <v>43642</v>
      </c>
      <c r="C1712" s="119">
        <v>11847.55</v>
      </c>
    </row>
    <row r="1713" spans="2:3" x14ac:dyDescent="0.35">
      <c r="B1713" s="517">
        <v>43641</v>
      </c>
      <c r="C1713" s="119">
        <v>11796.45</v>
      </c>
    </row>
    <row r="1714" spans="2:3" x14ac:dyDescent="0.35">
      <c r="B1714" s="517">
        <v>43640</v>
      </c>
      <c r="C1714" s="119">
        <v>11699.65</v>
      </c>
    </row>
    <row r="1715" spans="2:3" x14ac:dyDescent="0.35">
      <c r="B1715" s="517">
        <v>43637</v>
      </c>
      <c r="C1715" s="119">
        <v>11724.1</v>
      </c>
    </row>
    <row r="1716" spans="2:3" x14ac:dyDescent="0.35">
      <c r="B1716" s="517">
        <v>43636</v>
      </c>
      <c r="C1716" s="119">
        <v>11831.75</v>
      </c>
    </row>
    <row r="1717" spans="2:3" x14ac:dyDescent="0.35">
      <c r="B1717" s="517">
        <v>43635</v>
      </c>
      <c r="C1717" s="119">
        <v>11691.45</v>
      </c>
    </row>
    <row r="1718" spans="2:3" x14ac:dyDescent="0.35">
      <c r="B1718" s="517">
        <v>43634</v>
      </c>
      <c r="C1718" s="119">
        <v>11691.5</v>
      </c>
    </row>
    <row r="1719" spans="2:3" x14ac:dyDescent="0.35">
      <c r="B1719" s="517">
        <v>43633</v>
      </c>
      <c r="C1719" s="119">
        <v>11672.15</v>
      </c>
    </row>
    <row r="1720" spans="2:3" x14ac:dyDescent="0.35">
      <c r="B1720" s="517">
        <v>43630</v>
      </c>
      <c r="C1720" s="119">
        <v>11823.3</v>
      </c>
    </row>
    <row r="1721" spans="2:3" x14ac:dyDescent="0.35">
      <c r="B1721" s="517">
        <v>43629</v>
      </c>
      <c r="C1721" s="119">
        <v>11914.05</v>
      </c>
    </row>
    <row r="1722" spans="2:3" x14ac:dyDescent="0.35">
      <c r="B1722" s="517">
        <v>43628</v>
      </c>
      <c r="C1722" s="119">
        <v>11906.2</v>
      </c>
    </row>
    <row r="1723" spans="2:3" x14ac:dyDescent="0.35">
      <c r="B1723" s="517">
        <v>43627</v>
      </c>
      <c r="C1723" s="119">
        <v>11965.6</v>
      </c>
    </row>
    <row r="1724" spans="2:3" x14ac:dyDescent="0.35">
      <c r="B1724" s="517">
        <v>43626</v>
      </c>
      <c r="C1724" s="119">
        <v>11922.7</v>
      </c>
    </row>
    <row r="1725" spans="2:3" x14ac:dyDescent="0.35">
      <c r="B1725" s="517">
        <v>43623</v>
      </c>
      <c r="C1725" s="119">
        <v>11870.65</v>
      </c>
    </row>
    <row r="1726" spans="2:3" x14ac:dyDescent="0.35">
      <c r="B1726" s="517">
        <v>43622</v>
      </c>
      <c r="C1726" s="119">
        <v>11843.75</v>
      </c>
    </row>
    <row r="1727" spans="2:3" x14ac:dyDescent="0.35">
      <c r="B1727" s="517">
        <v>43620</v>
      </c>
      <c r="C1727" s="119">
        <v>12021.65</v>
      </c>
    </row>
    <row r="1728" spans="2:3" x14ac:dyDescent="0.35">
      <c r="B1728" s="517">
        <v>43619</v>
      </c>
      <c r="C1728" s="119">
        <v>12088.55</v>
      </c>
    </row>
    <row r="1729" spans="2:3" x14ac:dyDescent="0.35">
      <c r="B1729" s="517">
        <v>43616</v>
      </c>
      <c r="C1729" s="119">
        <v>11922.8</v>
      </c>
    </row>
    <row r="1730" spans="2:3" x14ac:dyDescent="0.35">
      <c r="B1730" s="517">
        <v>43615</v>
      </c>
      <c r="C1730" s="119">
        <v>11945.9</v>
      </c>
    </row>
    <row r="1731" spans="2:3" x14ac:dyDescent="0.35">
      <c r="B1731" s="517">
        <v>43614</v>
      </c>
      <c r="C1731" s="119">
        <v>11861.1</v>
      </c>
    </row>
    <row r="1732" spans="2:3" x14ac:dyDescent="0.35">
      <c r="B1732" s="517">
        <v>43613</v>
      </c>
      <c r="C1732" s="119">
        <v>11928.75</v>
      </c>
    </row>
    <row r="1733" spans="2:3" x14ac:dyDescent="0.35">
      <c r="B1733" s="517">
        <v>43612</v>
      </c>
      <c r="C1733" s="119">
        <v>11924.75</v>
      </c>
    </row>
    <row r="1734" spans="2:3" x14ac:dyDescent="0.35">
      <c r="B1734" s="517">
        <v>43609</v>
      </c>
      <c r="C1734" s="119">
        <v>11844.1</v>
      </c>
    </row>
    <row r="1735" spans="2:3" x14ac:dyDescent="0.35">
      <c r="B1735" s="517">
        <v>43608</v>
      </c>
      <c r="C1735" s="119">
        <v>11657.05</v>
      </c>
    </row>
    <row r="1736" spans="2:3" x14ac:dyDescent="0.35">
      <c r="B1736" s="517">
        <v>43607</v>
      </c>
      <c r="C1736" s="119">
        <v>11737.9</v>
      </c>
    </row>
    <row r="1737" spans="2:3" x14ac:dyDescent="0.35">
      <c r="B1737" s="517">
        <v>43606</v>
      </c>
      <c r="C1737" s="119">
        <v>11709.1</v>
      </c>
    </row>
    <row r="1738" spans="2:3" x14ac:dyDescent="0.35">
      <c r="B1738" s="517">
        <v>43605</v>
      </c>
      <c r="C1738" s="119">
        <v>11828.25</v>
      </c>
    </row>
    <row r="1739" spans="2:3" x14ac:dyDescent="0.35">
      <c r="B1739" s="517">
        <v>43602</v>
      </c>
      <c r="C1739" s="119">
        <v>11407.15</v>
      </c>
    </row>
    <row r="1740" spans="2:3" x14ac:dyDescent="0.35">
      <c r="B1740" s="517">
        <v>43601</v>
      </c>
      <c r="C1740" s="119">
        <v>11257.1</v>
      </c>
    </row>
    <row r="1741" spans="2:3" x14ac:dyDescent="0.35">
      <c r="B1741" s="517">
        <v>43600</v>
      </c>
      <c r="C1741" s="119">
        <v>11157</v>
      </c>
    </row>
    <row r="1742" spans="2:3" x14ac:dyDescent="0.35">
      <c r="B1742" s="517">
        <v>43599</v>
      </c>
      <c r="C1742" s="119">
        <v>11222.05</v>
      </c>
    </row>
    <row r="1743" spans="2:3" x14ac:dyDescent="0.35">
      <c r="B1743" s="517">
        <v>43598</v>
      </c>
      <c r="C1743" s="119">
        <v>11148.2</v>
      </c>
    </row>
    <row r="1744" spans="2:3" x14ac:dyDescent="0.35">
      <c r="B1744" s="517">
        <v>43595</v>
      </c>
      <c r="C1744" s="119">
        <v>11278.9</v>
      </c>
    </row>
    <row r="1745" spans="2:3" x14ac:dyDescent="0.35">
      <c r="B1745" s="517">
        <v>43594</v>
      </c>
      <c r="C1745" s="119">
        <v>11301.8</v>
      </c>
    </row>
    <row r="1746" spans="2:3" x14ac:dyDescent="0.35">
      <c r="B1746" s="517">
        <v>43593</v>
      </c>
      <c r="C1746" s="119">
        <v>11359.45</v>
      </c>
    </row>
    <row r="1747" spans="2:3" x14ac:dyDescent="0.35">
      <c r="B1747" s="517">
        <v>43592</v>
      </c>
      <c r="C1747" s="119">
        <v>11497.9</v>
      </c>
    </row>
    <row r="1748" spans="2:3" x14ac:dyDescent="0.35">
      <c r="B1748" s="517">
        <v>43591</v>
      </c>
      <c r="C1748" s="119">
        <v>11598.25</v>
      </c>
    </row>
    <row r="1749" spans="2:3" x14ac:dyDescent="0.35">
      <c r="B1749" s="517">
        <v>43588</v>
      </c>
      <c r="C1749" s="119">
        <v>11712.25</v>
      </c>
    </row>
    <row r="1750" spans="2:3" x14ac:dyDescent="0.35">
      <c r="B1750" s="517">
        <v>43587</v>
      </c>
      <c r="C1750" s="119">
        <v>11724.75</v>
      </c>
    </row>
    <row r="1751" spans="2:3" x14ac:dyDescent="0.35">
      <c r="B1751" s="517">
        <v>43585</v>
      </c>
      <c r="C1751" s="119">
        <v>11748.15</v>
      </c>
    </row>
    <row r="1752" spans="2:3" x14ac:dyDescent="0.35">
      <c r="B1752" s="517">
        <v>43581</v>
      </c>
      <c r="C1752" s="119">
        <v>11754.65</v>
      </c>
    </row>
    <row r="1753" spans="2:3" x14ac:dyDescent="0.35">
      <c r="B1753" s="517">
        <v>43580</v>
      </c>
      <c r="C1753" s="119">
        <v>11641.8</v>
      </c>
    </row>
    <row r="1754" spans="2:3" x14ac:dyDescent="0.35">
      <c r="B1754" s="517">
        <v>43579</v>
      </c>
      <c r="C1754" s="119">
        <v>11726.15</v>
      </c>
    </row>
    <row r="1755" spans="2:3" x14ac:dyDescent="0.35">
      <c r="B1755" s="517">
        <v>43578</v>
      </c>
      <c r="C1755" s="119">
        <v>11575.95</v>
      </c>
    </row>
    <row r="1756" spans="2:3" x14ac:dyDescent="0.35">
      <c r="B1756" s="517">
        <v>43577</v>
      </c>
      <c r="C1756" s="119">
        <v>11594.45</v>
      </c>
    </row>
    <row r="1757" spans="2:3" x14ac:dyDescent="0.35">
      <c r="B1757" s="517">
        <v>43573</v>
      </c>
      <c r="C1757" s="119">
        <v>11752.8</v>
      </c>
    </row>
    <row r="1758" spans="2:3" x14ac:dyDescent="0.35">
      <c r="B1758" s="517">
        <v>43571</v>
      </c>
      <c r="C1758" s="119">
        <v>11787.15</v>
      </c>
    </row>
    <row r="1759" spans="2:3" x14ac:dyDescent="0.35">
      <c r="B1759" s="517">
        <v>43570</v>
      </c>
      <c r="C1759" s="119">
        <v>11690.35</v>
      </c>
    </row>
    <row r="1760" spans="2:3" x14ac:dyDescent="0.35">
      <c r="B1760" s="517">
        <v>43567</v>
      </c>
      <c r="C1760" s="119">
        <v>11643.45</v>
      </c>
    </row>
    <row r="1761" spans="2:3" x14ac:dyDescent="0.35">
      <c r="B1761" s="517">
        <v>43566</v>
      </c>
      <c r="C1761" s="119">
        <v>11596.7</v>
      </c>
    </row>
    <row r="1762" spans="2:3" x14ac:dyDescent="0.35">
      <c r="B1762" s="517">
        <v>43565</v>
      </c>
      <c r="C1762" s="119">
        <v>11584.3</v>
      </c>
    </row>
    <row r="1763" spans="2:3" x14ac:dyDescent="0.35">
      <c r="B1763" s="517">
        <v>43564</v>
      </c>
      <c r="C1763" s="119">
        <v>11671.95</v>
      </c>
    </row>
    <row r="1764" spans="2:3" x14ac:dyDescent="0.35">
      <c r="B1764" s="517">
        <v>43563</v>
      </c>
      <c r="C1764" s="119">
        <v>11604.5</v>
      </c>
    </row>
    <row r="1765" spans="2:3" x14ac:dyDescent="0.35">
      <c r="B1765" s="517">
        <v>43560</v>
      </c>
      <c r="C1765" s="119">
        <v>11665.95</v>
      </c>
    </row>
    <row r="1766" spans="2:3" x14ac:dyDescent="0.35">
      <c r="B1766" s="517">
        <v>43559</v>
      </c>
      <c r="C1766" s="119">
        <v>11598</v>
      </c>
    </row>
    <row r="1767" spans="2:3" x14ac:dyDescent="0.35">
      <c r="B1767" s="517">
        <v>43558</v>
      </c>
      <c r="C1767" s="119">
        <v>11643.95</v>
      </c>
    </row>
    <row r="1768" spans="2:3" x14ac:dyDescent="0.35">
      <c r="B1768" s="517">
        <v>43557</v>
      </c>
      <c r="C1768" s="119">
        <v>11713.2</v>
      </c>
    </row>
    <row r="1769" spans="2:3" x14ac:dyDescent="0.35">
      <c r="B1769" s="517">
        <v>43556</v>
      </c>
      <c r="C1769" s="119">
        <v>11669.15</v>
      </c>
    </row>
    <row r="1770" spans="2:3" x14ac:dyDescent="0.35">
      <c r="B1770" s="517">
        <v>43553</v>
      </c>
      <c r="C1770" s="119">
        <v>11623.9</v>
      </c>
    </row>
    <row r="1771" spans="2:3" x14ac:dyDescent="0.35">
      <c r="B1771" s="517">
        <v>43552</v>
      </c>
      <c r="C1771" s="119">
        <v>11570</v>
      </c>
    </row>
    <row r="1772" spans="2:3" x14ac:dyDescent="0.35">
      <c r="B1772" s="517">
        <v>43551</v>
      </c>
      <c r="C1772" s="119">
        <v>11445.05</v>
      </c>
    </row>
    <row r="1773" spans="2:3" x14ac:dyDescent="0.35">
      <c r="B1773" s="517">
        <v>43550</v>
      </c>
      <c r="C1773" s="119">
        <v>11483.25</v>
      </c>
    </row>
    <row r="1774" spans="2:3" x14ac:dyDescent="0.35">
      <c r="B1774" s="517">
        <v>43549</v>
      </c>
      <c r="C1774" s="119">
        <v>11354.25</v>
      </c>
    </row>
    <row r="1775" spans="2:3" x14ac:dyDescent="0.35">
      <c r="B1775" s="517">
        <v>43546</v>
      </c>
      <c r="C1775" s="119">
        <v>11456.9</v>
      </c>
    </row>
    <row r="1776" spans="2:3" x14ac:dyDescent="0.35">
      <c r="B1776" s="517">
        <v>43544</v>
      </c>
      <c r="C1776" s="119">
        <v>11521.05</v>
      </c>
    </row>
    <row r="1777" spans="2:3" x14ac:dyDescent="0.35">
      <c r="B1777" s="517">
        <v>43543</v>
      </c>
      <c r="C1777" s="119">
        <v>11532.4</v>
      </c>
    </row>
    <row r="1778" spans="2:3" x14ac:dyDescent="0.35">
      <c r="B1778" s="517">
        <v>43542</v>
      </c>
      <c r="C1778" s="119">
        <v>11462.2</v>
      </c>
    </row>
    <row r="1779" spans="2:3" x14ac:dyDescent="0.35">
      <c r="B1779" s="517">
        <v>43539</v>
      </c>
      <c r="C1779" s="119">
        <v>11426.85</v>
      </c>
    </row>
    <row r="1780" spans="2:3" x14ac:dyDescent="0.35">
      <c r="B1780" s="517">
        <v>43538</v>
      </c>
      <c r="C1780" s="119">
        <v>11343.25</v>
      </c>
    </row>
    <row r="1781" spans="2:3" x14ac:dyDescent="0.35">
      <c r="B1781" s="517">
        <v>43537</v>
      </c>
      <c r="C1781" s="119">
        <v>11341.7</v>
      </c>
    </row>
    <row r="1782" spans="2:3" x14ac:dyDescent="0.35">
      <c r="B1782" s="517">
        <v>43536</v>
      </c>
      <c r="C1782" s="119">
        <v>11301.2</v>
      </c>
    </row>
    <row r="1783" spans="2:3" x14ac:dyDescent="0.35">
      <c r="B1783" s="517">
        <v>43535</v>
      </c>
      <c r="C1783" s="119">
        <v>11168.05</v>
      </c>
    </row>
    <row r="1784" spans="2:3" x14ac:dyDescent="0.35">
      <c r="B1784" s="517">
        <v>43532</v>
      </c>
      <c r="C1784" s="119">
        <v>11035.4</v>
      </c>
    </row>
    <row r="1785" spans="2:3" x14ac:dyDescent="0.35">
      <c r="B1785" s="517">
        <v>43531</v>
      </c>
      <c r="C1785" s="119">
        <v>11058.2</v>
      </c>
    </row>
    <row r="1786" spans="2:3" x14ac:dyDescent="0.35">
      <c r="B1786" s="517">
        <v>43530</v>
      </c>
      <c r="C1786" s="119">
        <v>11053</v>
      </c>
    </row>
    <row r="1787" spans="2:3" x14ac:dyDescent="0.35">
      <c r="B1787" s="517">
        <v>43529</v>
      </c>
      <c r="C1787" s="119">
        <v>10987.45</v>
      </c>
    </row>
    <row r="1788" spans="2:3" x14ac:dyDescent="0.35">
      <c r="B1788" s="517">
        <v>43525</v>
      </c>
      <c r="C1788" s="119">
        <v>10863.5</v>
      </c>
    </row>
    <row r="1789" spans="2:3" x14ac:dyDescent="0.35">
      <c r="B1789" s="517">
        <v>43524</v>
      </c>
      <c r="C1789" s="119">
        <v>10792.5</v>
      </c>
    </row>
    <row r="1790" spans="2:3" x14ac:dyDescent="0.35">
      <c r="B1790" s="517">
        <v>43523</v>
      </c>
      <c r="C1790" s="119">
        <v>10806.65</v>
      </c>
    </row>
    <row r="1791" spans="2:3" x14ac:dyDescent="0.35">
      <c r="B1791" s="517">
        <v>43522</v>
      </c>
      <c r="C1791" s="119">
        <v>10835.3</v>
      </c>
    </row>
    <row r="1792" spans="2:3" x14ac:dyDescent="0.35">
      <c r="B1792" s="517">
        <v>43521</v>
      </c>
      <c r="C1792" s="119">
        <v>10880.1</v>
      </c>
    </row>
    <row r="1793" spans="2:3" x14ac:dyDescent="0.35">
      <c r="B1793" s="517">
        <v>43518</v>
      </c>
      <c r="C1793" s="119">
        <v>10791.65</v>
      </c>
    </row>
    <row r="1794" spans="2:3" x14ac:dyDescent="0.35">
      <c r="B1794" s="517">
        <v>43517</v>
      </c>
      <c r="C1794" s="119">
        <v>10789.85</v>
      </c>
    </row>
    <row r="1795" spans="2:3" x14ac:dyDescent="0.35">
      <c r="B1795" s="517">
        <v>43516</v>
      </c>
      <c r="C1795" s="119">
        <v>10735.45</v>
      </c>
    </row>
    <row r="1796" spans="2:3" x14ac:dyDescent="0.35">
      <c r="B1796" s="517">
        <v>43515</v>
      </c>
      <c r="C1796" s="119">
        <v>10604.35</v>
      </c>
    </row>
    <row r="1797" spans="2:3" x14ac:dyDescent="0.35">
      <c r="B1797" s="517">
        <v>43514</v>
      </c>
      <c r="C1797" s="119">
        <v>10640.95</v>
      </c>
    </row>
    <row r="1798" spans="2:3" x14ac:dyDescent="0.35">
      <c r="B1798" s="517">
        <v>43511</v>
      </c>
      <c r="C1798" s="119">
        <v>10724.4</v>
      </c>
    </row>
    <row r="1799" spans="2:3" x14ac:dyDescent="0.35">
      <c r="B1799" s="517">
        <v>43510</v>
      </c>
      <c r="C1799" s="119">
        <v>10746.05</v>
      </c>
    </row>
    <row r="1800" spans="2:3" x14ac:dyDescent="0.35">
      <c r="B1800" s="517">
        <v>43509</v>
      </c>
      <c r="C1800" s="119">
        <v>10793.65</v>
      </c>
    </row>
    <row r="1801" spans="2:3" x14ac:dyDescent="0.35">
      <c r="B1801" s="517">
        <v>43508</v>
      </c>
      <c r="C1801" s="119">
        <v>10831.4</v>
      </c>
    </row>
    <row r="1802" spans="2:3" x14ac:dyDescent="0.35">
      <c r="B1802" s="517">
        <v>43507</v>
      </c>
      <c r="C1802" s="119">
        <v>10888.8</v>
      </c>
    </row>
    <row r="1803" spans="2:3" x14ac:dyDescent="0.35">
      <c r="B1803" s="517">
        <v>43504</v>
      </c>
      <c r="C1803" s="119">
        <v>10943.6</v>
      </c>
    </row>
    <row r="1804" spans="2:3" x14ac:dyDescent="0.35">
      <c r="B1804" s="517">
        <v>43503</v>
      </c>
      <c r="C1804" s="119">
        <v>11069.4</v>
      </c>
    </row>
    <row r="1805" spans="2:3" x14ac:dyDescent="0.35">
      <c r="B1805" s="517">
        <v>43502</v>
      </c>
      <c r="C1805" s="119">
        <v>11062.45</v>
      </c>
    </row>
    <row r="1806" spans="2:3" x14ac:dyDescent="0.35">
      <c r="B1806" s="517">
        <v>43501</v>
      </c>
      <c r="C1806" s="119">
        <v>10934.35</v>
      </c>
    </row>
    <row r="1807" spans="2:3" x14ac:dyDescent="0.35">
      <c r="B1807" s="517">
        <v>43500</v>
      </c>
      <c r="C1807" s="119">
        <v>10912.25</v>
      </c>
    </row>
    <row r="1808" spans="2:3" x14ac:dyDescent="0.35">
      <c r="B1808" s="517">
        <v>43497</v>
      </c>
      <c r="C1808" s="119">
        <v>10893.65</v>
      </c>
    </row>
    <row r="1809" spans="2:3" x14ac:dyDescent="0.35">
      <c r="B1809" s="517">
        <v>43496</v>
      </c>
      <c r="C1809" s="119">
        <v>10830.95</v>
      </c>
    </row>
    <row r="1810" spans="2:3" x14ac:dyDescent="0.35">
      <c r="B1810" s="517">
        <v>43495</v>
      </c>
      <c r="C1810" s="119">
        <v>10651.8</v>
      </c>
    </row>
    <row r="1811" spans="2:3" x14ac:dyDescent="0.35">
      <c r="B1811" s="517">
        <v>43494</v>
      </c>
      <c r="C1811" s="119">
        <v>10652.2</v>
      </c>
    </row>
    <row r="1812" spans="2:3" x14ac:dyDescent="0.35">
      <c r="B1812" s="517">
        <v>43493</v>
      </c>
      <c r="C1812" s="119">
        <v>10661.55</v>
      </c>
    </row>
    <row r="1813" spans="2:3" x14ac:dyDescent="0.35">
      <c r="B1813" s="517">
        <v>43490</v>
      </c>
      <c r="C1813" s="119">
        <v>10780.55</v>
      </c>
    </row>
    <row r="1814" spans="2:3" x14ac:dyDescent="0.35">
      <c r="B1814" s="517">
        <v>43489</v>
      </c>
      <c r="C1814" s="119">
        <v>10849.8</v>
      </c>
    </row>
    <row r="1815" spans="2:3" x14ac:dyDescent="0.35">
      <c r="B1815" s="517">
        <v>43488</v>
      </c>
      <c r="C1815" s="119">
        <v>10831.5</v>
      </c>
    </row>
    <row r="1816" spans="2:3" x14ac:dyDescent="0.35">
      <c r="B1816" s="517">
        <v>43487</v>
      </c>
      <c r="C1816" s="119">
        <v>10922.75</v>
      </c>
    </row>
    <row r="1817" spans="2:3" x14ac:dyDescent="0.35">
      <c r="B1817" s="517">
        <v>43486</v>
      </c>
      <c r="C1817" s="119">
        <v>10961.85</v>
      </c>
    </row>
    <row r="1818" spans="2:3" x14ac:dyDescent="0.35">
      <c r="B1818" s="517">
        <v>43483</v>
      </c>
      <c r="C1818" s="119">
        <v>10906.95</v>
      </c>
    </row>
    <row r="1819" spans="2:3" x14ac:dyDescent="0.35">
      <c r="B1819" s="517">
        <v>43482</v>
      </c>
      <c r="C1819" s="119">
        <v>10905.2</v>
      </c>
    </row>
    <row r="1820" spans="2:3" x14ac:dyDescent="0.35">
      <c r="B1820" s="517">
        <v>43481</v>
      </c>
      <c r="C1820" s="119">
        <v>10890.3</v>
      </c>
    </row>
    <row r="1821" spans="2:3" x14ac:dyDescent="0.35">
      <c r="B1821" s="517">
        <v>43480</v>
      </c>
      <c r="C1821" s="119">
        <v>10886.8</v>
      </c>
    </row>
    <row r="1822" spans="2:3" x14ac:dyDescent="0.35">
      <c r="B1822" s="517">
        <v>43479</v>
      </c>
      <c r="C1822" s="119">
        <v>10737.6</v>
      </c>
    </row>
    <row r="1823" spans="2:3" x14ac:dyDescent="0.35">
      <c r="B1823" s="517">
        <v>43476</v>
      </c>
      <c r="C1823" s="119">
        <v>10794.95</v>
      </c>
    </row>
    <row r="1824" spans="2:3" x14ac:dyDescent="0.35">
      <c r="B1824" s="517">
        <v>43475</v>
      </c>
      <c r="C1824" s="119">
        <v>10821.6</v>
      </c>
    </row>
    <row r="1825" spans="2:3" x14ac:dyDescent="0.35">
      <c r="B1825" s="517">
        <v>43474</v>
      </c>
      <c r="C1825" s="119">
        <v>10855.15</v>
      </c>
    </row>
    <row r="1826" spans="2:3" x14ac:dyDescent="0.35">
      <c r="B1826" s="517">
        <v>43473</v>
      </c>
      <c r="C1826" s="119">
        <v>10802.15</v>
      </c>
    </row>
    <row r="1827" spans="2:3" x14ac:dyDescent="0.35">
      <c r="B1827" s="517">
        <v>43472</v>
      </c>
      <c r="C1827" s="119">
        <v>10771.8</v>
      </c>
    </row>
    <row r="1828" spans="2:3" x14ac:dyDescent="0.35">
      <c r="B1828" s="517">
        <v>43469</v>
      </c>
      <c r="C1828" s="119">
        <v>10727.35</v>
      </c>
    </row>
    <row r="1829" spans="2:3" x14ac:dyDescent="0.35">
      <c r="B1829" s="517">
        <v>43468</v>
      </c>
      <c r="C1829" s="119">
        <v>10672.25</v>
      </c>
    </row>
    <row r="1830" spans="2:3" x14ac:dyDescent="0.35">
      <c r="B1830" s="517">
        <v>43467</v>
      </c>
      <c r="C1830" s="119">
        <v>10792.5</v>
      </c>
    </row>
    <row r="1831" spans="2:3" x14ac:dyDescent="0.35">
      <c r="B1831" s="517">
        <v>43466</v>
      </c>
      <c r="C1831" s="119">
        <v>10910.1</v>
      </c>
    </row>
    <row r="1832" spans="2:3" x14ac:dyDescent="0.35">
      <c r="B1832" s="517">
        <v>43465</v>
      </c>
      <c r="C1832" s="119">
        <v>10862.55</v>
      </c>
    </row>
    <row r="1833" spans="2:3" x14ac:dyDescent="0.35">
      <c r="B1833" s="517">
        <v>43462</v>
      </c>
      <c r="C1833" s="119">
        <v>10859.9</v>
      </c>
    </row>
    <row r="1834" spans="2:3" x14ac:dyDescent="0.35">
      <c r="B1834" s="517">
        <v>43461</v>
      </c>
      <c r="C1834" s="119">
        <v>10779.8</v>
      </c>
    </row>
    <row r="1835" spans="2:3" x14ac:dyDescent="0.35">
      <c r="B1835" s="517">
        <v>43460</v>
      </c>
      <c r="C1835" s="119">
        <v>10729.85</v>
      </c>
    </row>
    <row r="1836" spans="2:3" x14ac:dyDescent="0.35">
      <c r="B1836" s="517">
        <v>43458</v>
      </c>
      <c r="C1836" s="119">
        <v>10663.5</v>
      </c>
    </row>
    <row r="1837" spans="2:3" x14ac:dyDescent="0.35">
      <c r="B1837" s="517">
        <v>43455</v>
      </c>
      <c r="C1837" s="119">
        <v>10754</v>
      </c>
    </row>
    <row r="1838" spans="2:3" x14ac:dyDescent="0.35">
      <c r="B1838" s="517">
        <v>43454</v>
      </c>
      <c r="C1838" s="119">
        <v>10951.7</v>
      </c>
    </row>
    <row r="1839" spans="2:3" x14ac:dyDescent="0.35">
      <c r="B1839" s="517">
        <v>43453</v>
      </c>
      <c r="C1839" s="119">
        <v>10967.3</v>
      </c>
    </row>
    <row r="1840" spans="2:3" x14ac:dyDescent="0.35">
      <c r="B1840" s="517">
        <v>43452</v>
      </c>
      <c r="C1840" s="119">
        <v>10908.7</v>
      </c>
    </row>
    <row r="1841" spans="2:3" x14ac:dyDescent="0.35">
      <c r="B1841" s="517">
        <v>43451</v>
      </c>
      <c r="C1841" s="119">
        <v>10888.35</v>
      </c>
    </row>
    <row r="1842" spans="2:3" x14ac:dyDescent="0.35">
      <c r="B1842" s="517">
        <v>43448</v>
      </c>
      <c r="C1842" s="119">
        <v>10805.45</v>
      </c>
    </row>
    <row r="1843" spans="2:3" x14ac:dyDescent="0.35">
      <c r="B1843" s="517">
        <v>43447</v>
      </c>
      <c r="C1843" s="119">
        <v>10791.55</v>
      </c>
    </row>
    <row r="1844" spans="2:3" x14ac:dyDescent="0.35">
      <c r="B1844" s="517">
        <v>43446</v>
      </c>
      <c r="C1844" s="119">
        <v>10737.6</v>
      </c>
    </row>
    <row r="1845" spans="2:3" x14ac:dyDescent="0.35">
      <c r="B1845" s="517">
        <v>43445</v>
      </c>
      <c r="C1845" s="119">
        <v>10549.15</v>
      </c>
    </row>
    <row r="1846" spans="2:3" x14ac:dyDescent="0.35">
      <c r="B1846" s="517">
        <v>43444</v>
      </c>
      <c r="C1846" s="119">
        <v>10488.45</v>
      </c>
    </row>
    <row r="1847" spans="2:3" x14ac:dyDescent="0.35">
      <c r="B1847" s="517">
        <v>43441</v>
      </c>
      <c r="C1847" s="119">
        <v>10693.7</v>
      </c>
    </row>
    <row r="1848" spans="2:3" x14ac:dyDescent="0.35">
      <c r="B1848" s="517">
        <v>43440</v>
      </c>
      <c r="C1848" s="119">
        <v>10601.15</v>
      </c>
    </row>
    <row r="1849" spans="2:3" x14ac:dyDescent="0.35">
      <c r="B1849" s="517">
        <v>43439</v>
      </c>
      <c r="C1849" s="119">
        <v>10782.9</v>
      </c>
    </row>
    <row r="1850" spans="2:3" x14ac:dyDescent="0.35">
      <c r="B1850" s="517">
        <v>43438</v>
      </c>
      <c r="C1850" s="119">
        <v>10869.5</v>
      </c>
    </row>
    <row r="1851" spans="2:3" x14ac:dyDescent="0.35">
      <c r="B1851" s="517">
        <v>43437</v>
      </c>
      <c r="C1851" s="119">
        <v>10883.75</v>
      </c>
    </row>
    <row r="1852" spans="2:3" x14ac:dyDescent="0.35">
      <c r="B1852" s="517">
        <v>43434</v>
      </c>
      <c r="C1852" s="119">
        <v>10876.75</v>
      </c>
    </row>
    <row r="1853" spans="2:3" x14ac:dyDescent="0.35">
      <c r="B1853" s="517">
        <v>43433</v>
      </c>
      <c r="C1853" s="119">
        <v>10858.7</v>
      </c>
    </row>
    <row r="1854" spans="2:3" x14ac:dyDescent="0.35">
      <c r="B1854" s="517">
        <v>43432</v>
      </c>
      <c r="C1854" s="119">
        <v>10728.85</v>
      </c>
    </row>
    <row r="1855" spans="2:3" x14ac:dyDescent="0.35">
      <c r="B1855" s="517">
        <v>43431</v>
      </c>
      <c r="C1855" s="119">
        <v>10685.6</v>
      </c>
    </row>
    <row r="1856" spans="2:3" x14ac:dyDescent="0.35">
      <c r="B1856" s="517">
        <v>43430</v>
      </c>
      <c r="C1856" s="119">
        <v>10628.6</v>
      </c>
    </row>
    <row r="1857" spans="2:3" x14ac:dyDescent="0.35">
      <c r="B1857" s="517">
        <v>43426</v>
      </c>
      <c r="C1857" s="119">
        <v>10526.75</v>
      </c>
    </row>
    <row r="1858" spans="2:3" x14ac:dyDescent="0.35">
      <c r="B1858" s="517">
        <v>43425</v>
      </c>
      <c r="C1858" s="119">
        <v>10600.05</v>
      </c>
    </row>
    <row r="1859" spans="2:3" x14ac:dyDescent="0.35">
      <c r="B1859" s="517">
        <v>43424</v>
      </c>
      <c r="C1859" s="119">
        <v>10656.2</v>
      </c>
    </row>
    <row r="1860" spans="2:3" x14ac:dyDescent="0.35">
      <c r="B1860" s="517">
        <v>43423</v>
      </c>
      <c r="C1860" s="119">
        <v>10763.4</v>
      </c>
    </row>
    <row r="1861" spans="2:3" x14ac:dyDescent="0.35">
      <c r="B1861" s="517">
        <v>43420</v>
      </c>
      <c r="C1861" s="119">
        <v>10682.2</v>
      </c>
    </row>
    <row r="1862" spans="2:3" x14ac:dyDescent="0.35">
      <c r="B1862" s="517">
        <v>43419</v>
      </c>
      <c r="C1862" s="119">
        <v>10616.7</v>
      </c>
    </row>
    <row r="1863" spans="2:3" x14ac:dyDescent="0.35">
      <c r="B1863" s="517">
        <v>43418</v>
      </c>
      <c r="C1863" s="119">
        <v>10576.3</v>
      </c>
    </row>
    <row r="1864" spans="2:3" x14ac:dyDescent="0.35">
      <c r="B1864" s="517">
        <v>43417</v>
      </c>
      <c r="C1864" s="119">
        <v>10582.5</v>
      </c>
    </row>
    <row r="1865" spans="2:3" x14ac:dyDescent="0.35">
      <c r="B1865" s="517">
        <v>43416</v>
      </c>
      <c r="C1865" s="119">
        <v>10482.200000000001</v>
      </c>
    </row>
    <row r="1866" spans="2:3" x14ac:dyDescent="0.35">
      <c r="B1866" s="517">
        <v>43413</v>
      </c>
      <c r="C1866" s="119">
        <v>10585.2</v>
      </c>
    </row>
    <row r="1867" spans="2:3" x14ac:dyDescent="0.35">
      <c r="B1867" s="517">
        <v>43411</v>
      </c>
      <c r="C1867" s="119">
        <v>10598.85</v>
      </c>
    </row>
    <row r="1868" spans="2:3" x14ac:dyDescent="0.35">
      <c r="B1868" s="517">
        <v>43410</v>
      </c>
      <c r="C1868" s="119">
        <v>10530</v>
      </c>
    </row>
    <row r="1869" spans="2:3" x14ac:dyDescent="0.35">
      <c r="B1869" s="517">
        <v>43409</v>
      </c>
      <c r="C1869" s="119">
        <v>10524</v>
      </c>
    </row>
    <row r="1870" spans="2:3" x14ac:dyDescent="0.35">
      <c r="B1870" s="517">
        <v>43406</v>
      </c>
      <c r="C1870" s="119">
        <v>10553</v>
      </c>
    </row>
    <row r="1871" spans="2:3" x14ac:dyDescent="0.35">
      <c r="B1871" s="517">
        <v>43405</v>
      </c>
      <c r="C1871" s="119">
        <v>10380.450000000001</v>
      </c>
    </row>
    <row r="1872" spans="2:3" x14ac:dyDescent="0.35">
      <c r="B1872" s="517">
        <v>43404</v>
      </c>
      <c r="C1872" s="119">
        <v>10386.6</v>
      </c>
    </row>
    <row r="1873" spans="2:3" x14ac:dyDescent="0.35">
      <c r="B1873" s="517">
        <v>43403</v>
      </c>
      <c r="C1873" s="119">
        <v>10198.4</v>
      </c>
    </row>
    <row r="1874" spans="2:3" x14ac:dyDescent="0.35">
      <c r="B1874" s="517">
        <v>43402</v>
      </c>
      <c r="C1874" s="119">
        <v>10250.85</v>
      </c>
    </row>
    <row r="1875" spans="2:3" x14ac:dyDescent="0.35">
      <c r="B1875" s="517">
        <v>43399</v>
      </c>
      <c r="C1875" s="119">
        <v>10030</v>
      </c>
    </row>
    <row r="1876" spans="2:3" x14ac:dyDescent="0.35">
      <c r="B1876" s="517">
        <v>43398</v>
      </c>
      <c r="C1876" s="119">
        <v>10124.9</v>
      </c>
    </row>
    <row r="1877" spans="2:3" x14ac:dyDescent="0.35">
      <c r="B1877" s="517">
        <v>43397</v>
      </c>
      <c r="C1877" s="119">
        <v>10224.75</v>
      </c>
    </row>
    <row r="1878" spans="2:3" x14ac:dyDescent="0.35">
      <c r="B1878" s="517">
        <v>43396</v>
      </c>
      <c r="C1878" s="119">
        <v>10146.799999999999</v>
      </c>
    </row>
    <row r="1879" spans="2:3" x14ac:dyDescent="0.35">
      <c r="B1879" s="517">
        <v>43395</v>
      </c>
      <c r="C1879" s="119">
        <v>10245.25</v>
      </c>
    </row>
    <row r="1880" spans="2:3" x14ac:dyDescent="0.35">
      <c r="B1880" s="517">
        <v>43392</v>
      </c>
      <c r="C1880" s="119">
        <v>10303.549999999999</v>
      </c>
    </row>
    <row r="1881" spans="2:3" x14ac:dyDescent="0.35">
      <c r="B1881" s="517">
        <v>43390</v>
      </c>
      <c r="C1881" s="119">
        <v>10453.049999999999</v>
      </c>
    </row>
    <row r="1882" spans="2:3" x14ac:dyDescent="0.35">
      <c r="B1882" s="517">
        <v>43389</v>
      </c>
      <c r="C1882" s="119">
        <v>10584.75</v>
      </c>
    </row>
    <row r="1883" spans="2:3" x14ac:dyDescent="0.35">
      <c r="B1883" s="517">
        <v>43388</v>
      </c>
      <c r="C1883" s="119">
        <v>10512.5</v>
      </c>
    </row>
    <row r="1884" spans="2:3" x14ac:dyDescent="0.35">
      <c r="B1884" s="517">
        <v>43385</v>
      </c>
      <c r="C1884" s="119">
        <v>10472.5</v>
      </c>
    </row>
    <row r="1885" spans="2:3" x14ac:dyDescent="0.35">
      <c r="B1885" s="517">
        <v>43384</v>
      </c>
      <c r="C1885" s="119">
        <v>10234.65</v>
      </c>
    </row>
    <row r="1886" spans="2:3" x14ac:dyDescent="0.35">
      <c r="B1886" s="517">
        <v>43383</v>
      </c>
      <c r="C1886" s="119">
        <v>10460.1</v>
      </c>
    </row>
    <row r="1887" spans="2:3" x14ac:dyDescent="0.35">
      <c r="B1887" s="517">
        <v>43382</v>
      </c>
      <c r="C1887" s="119">
        <v>10301.049999999999</v>
      </c>
    </row>
    <row r="1888" spans="2:3" x14ac:dyDescent="0.35">
      <c r="B1888" s="517">
        <v>43381</v>
      </c>
      <c r="C1888" s="119">
        <v>10348.049999999999</v>
      </c>
    </row>
    <row r="1889" spans="2:3" x14ac:dyDescent="0.35">
      <c r="B1889" s="517">
        <v>43378</v>
      </c>
      <c r="C1889" s="119">
        <v>10316.450000000001</v>
      </c>
    </row>
    <row r="1890" spans="2:3" x14ac:dyDescent="0.35">
      <c r="B1890" s="517">
        <v>43377</v>
      </c>
      <c r="C1890" s="119">
        <v>10599.25</v>
      </c>
    </row>
    <row r="1891" spans="2:3" x14ac:dyDescent="0.35">
      <c r="B1891" s="517">
        <v>43376</v>
      </c>
      <c r="C1891" s="119">
        <v>10858.25</v>
      </c>
    </row>
    <row r="1892" spans="2:3" x14ac:dyDescent="0.35">
      <c r="B1892" s="517">
        <v>43374</v>
      </c>
      <c r="C1892" s="119">
        <v>11008.3</v>
      </c>
    </row>
    <row r="1893" spans="2:3" x14ac:dyDescent="0.35">
      <c r="B1893" s="517">
        <v>43371</v>
      </c>
      <c r="C1893" s="119">
        <v>10930.45</v>
      </c>
    </row>
    <row r="1894" spans="2:3" x14ac:dyDescent="0.35">
      <c r="B1894" s="517">
        <v>43370</v>
      </c>
      <c r="C1894" s="119">
        <v>10977.55</v>
      </c>
    </row>
    <row r="1895" spans="2:3" x14ac:dyDescent="0.35">
      <c r="B1895" s="517">
        <v>43369</v>
      </c>
      <c r="C1895" s="119">
        <v>11053.8</v>
      </c>
    </row>
    <row r="1896" spans="2:3" x14ac:dyDescent="0.35">
      <c r="B1896" s="517">
        <v>43368</v>
      </c>
      <c r="C1896" s="119">
        <v>11067.45</v>
      </c>
    </row>
    <row r="1897" spans="2:3" x14ac:dyDescent="0.35">
      <c r="B1897" s="517">
        <v>43367</v>
      </c>
      <c r="C1897" s="119">
        <v>10967.4</v>
      </c>
    </row>
    <row r="1898" spans="2:3" x14ac:dyDescent="0.35">
      <c r="B1898" s="517">
        <v>43364</v>
      </c>
      <c r="C1898" s="119">
        <v>11143.1</v>
      </c>
    </row>
    <row r="1899" spans="2:3" x14ac:dyDescent="0.35">
      <c r="B1899" s="517">
        <v>43362</v>
      </c>
      <c r="C1899" s="119">
        <v>11234.35</v>
      </c>
    </row>
    <row r="1900" spans="2:3" x14ac:dyDescent="0.35">
      <c r="B1900" s="517">
        <v>43361</v>
      </c>
      <c r="C1900" s="119">
        <v>11278.9</v>
      </c>
    </row>
    <row r="1901" spans="2:3" x14ac:dyDescent="0.35">
      <c r="B1901" s="517">
        <v>43360</v>
      </c>
      <c r="C1901" s="119">
        <v>11377.75</v>
      </c>
    </row>
    <row r="1902" spans="2:3" x14ac:dyDescent="0.35">
      <c r="B1902" s="517">
        <v>43357</v>
      </c>
      <c r="C1902" s="119">
        <v>11515.2</v>
      </c>
    </row>
    <row r="1903" spans="2:3" x14ac:dyDescent="0.35">
      <c r="B1903" s="517">
        <v>43355</v>
      </c>
      <c r="C1903" s="119">
        <v>11369.9</v>
      </c>
    </row>
    <row r="1904" spans="2:3" x14ac:dyDescent="0.35">
      <c r="B1904" s="517">
        <v>43354</v>
      </c>
      <c r="C1904" s="119">
        <v>11287.5</v>
      </c>
    </row>
    <row r="1905" spans="2:3" x14ac:dyDescent="0.35">
      <c r="B1905" s="517">
        <v>43353</v>
      </c>
      <c r="C1905" s="119">
        <v>11438.1</v>
      </c>
    </row>
    <row r="1906" spans="2:3" x14ac:dyDescent="0.35">
      <c r="B1906" s="517">
        <v>43350</v>
      </c>
      <c r="C1906" s="119">
        <v>11589.1</v>
      </c>
    </row>
    <row r="1907" spans="2:3" x14ac:dyDescent="0.35">
      <c r="B1907" s="517">
        <v>43349</v>
      </c>
      <c r="C1907" s="119">
        <v>11536.9</v>
      </c>
    </row>
    <row r="1908" spans="2:3" x14ac:dyDescent="0.35">
      <c r="B1908" s="517">
        <v>43348</v>
      </c>
      <c r="C1908" s="119">
        <v>11476.95</v>
      </c>
    </row>
    <row r="1909" spans="2:3" x14ac:dyDescent="0.35">
      <c r="B1909" s="517">
        <v>43347</v>
      </c>
      <c r="C1909" s="119">
        <v>11520.3</v>
      </c>
    </row>
    <row r="1910" spans="2:3" x14ac:dyDescent="0.35">
      <c r="B1910" s="517">
        <v>43346</v>
      </c>
      <c r="C1910" s="119">
        <v>11582.35</v>
      </c>
    </row>
    <row r="1911" spans="2:3" x14ac:dyDescent="0.35">
      <c r="B1911" s="517">
        <v>43343</v>
      </c>
      <c r="C1911" s="119">
        <v>11680.5</v>
      </c>
    </row>
    <row r="1912" spans="2:3" x14ac:dyDescent="0.35">
      <c r="B1912" s="517">
        <v>43342</v>
      </c>
      <c r="C1912" s="119">
        <v>11676.8</v>
      </c>
    </row>
    <row r="1913" spans="2:3" x14ac:dyDescent="0.35">
      <c r="B1913" s="517">
        <v>43341</v>
      </c>
      <c r="C1913" s="119">
        <v>11691.9</v>
      </c>
    </row>
    <row r="1914" spans="2:3" x14ac:dyDescent="0.35">
      <c r="B1914" s="517">
        <v>43340</v>
      </c>
      <c r="C1914" s="119">
        <v>11738.5</v>
      </c>
    </row>
    <row r="1915" spans="2:3" x14ac:dyDescent="0.35">
      <c r="B1915" s="517">
        <v>43339</v>
      </c>
      <c r="C1915" s="119">
        <v>11691.95</v>
      </c>
    </row>
    <row r="1916" spans="2:3" x14ac:dyDescent="0.35">
      <c r="B1916" s="517">
        <v>43336</v>
      </c>
      <c r="C1916" s="119">
        <v>11557.1</v>
      </c>
    </row>
    <row r="1917" spans="2:3" x14ac:dyDescent="0.35">
      <c r="B1917" s="517">
        <v>43335</v>
      </c>
      <c r="C1917" s="119">
        <v>11582.75</v>
      </c>
    </row>
    <row r="1918" spans="2:3" x14ac:dyDescent="0.35">
      <c r="B1918" s="517">
        <v>43333</v>
      </c>
      <c r="C1918" s="119">
        <v>11570.9</v>
      </c>
    </row>
    <row r="1919" spans="2:3" x14ac:dyDescent="0.35">
      <c r="B1919" s="517">
        <v>43332</v>
      </c>
      <c r="C1919" s="119">
        <v>11551.75</v>
      </c>
    </row>
    <row r="1920" spans="2:3" x14ac:dyDescent="0.35">
      <c r="B1920" s="517">
        <v>43329</v>
      </c>
      <c r="C1920" s="119">
        <v>11470.75</v>
      </c>
    </row>
    <row r="1921" spans="2:3" x14ac:dyDescent="0.35">
      <c r="B1921" s="517">
        <v>43328</v>
      </c>
      <c r="C1921" s="119">
        <v>11385.05</v>
      </c>
    </row>
    <row r="1922" spans="2:3" x14ac:dyDescent="0.35">
      <c r="B1922" s="517">
        <v>43326</v>
      </c>
      <c r="C1922" s="119">
        <v>11435.1</v>
      </c>
    </row>
    <row r="1923" spans="2:3" x14ac:dyDescent="0.35">
      <c r="B1923" s="517">
        <v>43325</v>
      </c>
      <c r="C1923" s="119">
        <v>11355.75</v>
      </c>
    </row>
    <row r="1924" spans="2:3" x14ac:dyDescent="0.35">
      <c r="B1924" s="517">
        <v>43322</v>
      </c>
      <c r="C1924" s="119">
        <v>11429.5</v>
      </c>
    </row>
    <row r="1925" spans="2:3" x14ac:dyDescent="0.35">
      <c r="B1925" s="517">
        <v>43321</v>
      </c>
      <c r="C1925" s="119">
        <v>11470.7</v>
      </c>
    </row>
    <row r="1926" spans="2:3" x14ac:dyDescent="0.35">
      <c r="B1926" s="517">
        <v>43320</v>
      </c>
      <c r="C1926" s="119">
        <v>11450</v>
      </c>
    </row>
    <row r="1927" spans="2:3" x14ac:dyDescent="0.35">
      <c r="B1927" s="517">
        <v>43319</v>
      </c>
      <c r="C1927" s="119">
        <v>11389.45</v>
      </c>
    </row>
    <row r="1928" spans="2:3" x14ac:dyDescent="0.35">
      <c r="B1928" s="517">
        <v>43318</v>
      </c>
      <c r="C1928" s="119">
        <v>11387.1</v>
      </c>
    </row>
    <row r="1929" spans="2:3" x14ac:dyDescent="0.35">
      <c r="B1929" s="517">
        <v>43315</v>
      </c>
      <c r="C1929" s="119">
        <v>11360.8</v>
      </c>
    </row>
    <row r="1930" spans="2:3" x14ac:dyDescent="0.35">
      <c r="B1930" s="517">
        <v>43314</v>
      </c>
      <c r="C1930" s="119">
        <v>11244.7</v>
      </c>
    </row>
    <row r="1931" spans="2:3" x14ac:dyDescent="0.35">
      <c r="B1931" s="517">
        <v>43313</v>
      </c>
      <c r="C1931" s="119">
        <v>11346.2</v>
      </c>
    </row>
    <row r="1932" spans="2:3" x14ac:dyDescent="0.35">
      <c r="B1932" s="517">
        <v>43312</v>
      </c>
      <c r="C1932" s="119">
        <v>11356.5</v>
      </c>
    </row>
    <row r="1933" spans="2:3" x14ac:dyDescent="0.35">
      <c r="B1933" s="517">
        <v>43311</v>
      </c>
      <c r="C1933" s="119">
        <v>11319.55</v>
      </c>
    </row>
    <row r="1934" spans="2:3" x14ac:dyDescent="0.35">
      <c r="B1934" s="517">
        <v>43308</v>
      </c>
      <c r="C1934" s="119">
        <v>11278.35</v>
      </c>
    </row>
    <row r="1935" spans="2:3" x14ac:dyDescent="0.35">
      <c r="B1935" s="517">
        <v>43307</v>
      </c>
      <c r="C1935" s="119">
        <v>11167.3</v>
      </c>
    </row>
    <row r="1936" spans="2:3" x14ac:dyDescent="0.35">
      <c r="B1936" s="517">
        <v>43306</v>
      </c>
      <c r="C1936" s="119">
        <v>11132</v>
      </c>
    </row>
    <row r="1937" spans="2:3" x14ac:dyDescent="0.35">
      <c r="B1937" s="517">
        <v>43305</v>
      </c>
      <c r="C1937" s="119">
        <v>11134.3</v>
      </c>
    </row>
    <row r="1938" spans="2:3" x14ac:dyDescent="0.35">
      <c r="B1938" s="517">
        <v>43304</v>
      </c>
      <c r="C1938" s="119">
        <v>11084.75</v>
      </c>
    </row>
    <row r="1939" spans="2:3" x14ac:dyDescent="0.35">
      <c r="B1939" s="517">
        <v>43301</v>
      </c>
      <c r="C1939" s="119">
        <v>11010.2</v>
      </c>
    </row>
    <row r="1940" spans="2:3" x14ac:dyDescent="0.35">
      <c r="B1940" s="517">
        <v>43300</v>
      </c>
      <c r="C1940" s="119">
        <v>10957.1</v>
      </c>
    </row>
    <row r="1941" spans="2:3" x14ac:dyDescent="0.35">
      <c r="B1941" s="517">
        <v>43299</v>
      </c>
      <c r="C1941" s="119">
        <v>10980.45</v>
      </c>
    </row>
    <row r="1942" spans="2:3" x14ac:dyDescent="0.35">
      <c r="B1942" s="517">
        <v>43298</v>
      </c>
      <c r="C1942" s="119">
        <v>11008.05</v>
      </c>
    </row>
    <row r="1943" spans="2:3" x14ac:dyDescent="0.35">
      <c r="B1943" s="517">
        <v>43297</v>
      </c>
      <c r="C1943" s="119">
        <v>10936.85</v>
      </c>
    </row>
    <row r="1944" spans="2:3" x14ac:dyDescent="0.35">
      <c r="B1944" s="517">
        <v>43294</v>
      </c>
      <c r="C1944" s="119">
        <v>11018.9</v>
      </c>
    </row>
    <row r="1945" spans="2:3" x14ac:dyDescent="0.35">
      <c r="B1945" s="517">
        <v>43293</v>
      </c>
      <c r="C1945" s="119">
        <v>11023.2</v>
      </c>
    </row>
    <row r="1946" spans="2:3" x14ac:dyDescent="0.35">
      <c r="B1946" s="517">
        <v>43292</v>
      </c>
      <c r="C1946" s="119">
        <v>10948.3</v>
      </c>
    </row>
    <row r="1947" spans="2:3" x14ac:dyDescent="0.35">
      <c r="B1947" s="517">
        <v>43291</v>
      </c>
      <c r="C1947" s="119">
        <v>10947.25</v>
      </c>
    </row>
    <row r="1948" spans="2:3" x14ac:dyDescent="0.35">
      <c r="B1948" s="517">
        <v>43290</v>
      </c>
      <c r="C1948" s="119">
        <v>10852.9</v>
      </c>
    </row>
    <row r="1949" spans="2:3" x14ac:dyDescent="0.35">
      <c r="B1949" s="517">
        <v>43287</v>
      </c>
      <c r="C1949" s="119">
        <v>10772.65</v>
      </c>
    </row>
    <row r="1950" spans="2:3" x14ac:dyDescent="0.35">
      <c r="B1950" s="517">
        <v>43286</v>
      </c>
      <c r="C1950" s="119">
        <v>10749.75</v>
      </c>
    </row>
    <row r="1951" spans="2:3" x14ac:dyDescent="0.35">
      <c r="B1951" s="517">
        <v>43285</v>
      </c>
      <c r="C1951" s="119">
        <v>10769.9</v>
      </c>
    </row>
    <row r="1952" spans="2:3" x14ac:dyDescent="0.35">
      <c r="B1952" s="517">
        <v>43284</v>
      </c>
      <c r="C1952" s="119">
        <v>10699.9</v>
      </c>
    </row>
    <row r="1953" spans="2:3" x14ac:dyDescent="0.35">
      <c r="B1953" s="517">
        <v>43283</v>
      </c>
      <c r="C1953" s="119">
        <v>10657.3</v>
      </c>
    </row>
    <row r="1954" spans="2:3" x14ac:dyDescent="0.35">
      <c r="B1954" s="517">
        <v>43280</v>
      </c>
      <c r="C1954" s="119">
        <v>10714.3</v>
      </c>
    </row>
    <row r="1955" spans="2:3" x14ac:dyDescent="0.35">
      <c r="B1955" s="517">
        <v>43279</v>
      </c>
      <c r="C1955" s="119">
        <v>10589.1</v>
      </c>
    </row>
    <row r="1956" spans="2:3" x14ac:dyDescent="0.35">
      <c r="B1956" s="517">
        <v>43278</v>
      </c>
      <c r="C1956" s="119">
        <v>10671.4</v>
      </c>
    </row>
    <row r="1957" spans="2:3" x14ac:dyDescent="0.35">
      <c r="B1957" s="517">
        <v>43277</v>
      </c>
      <c r="C1957" s="119">
        <v>10769.15</v>
      </c>
    </row>
    <row r="1958" spans="2:3" x14ac:dyDescent="0.35">
      <c r="B1958" s="517">
        <v>43276</v>
      </c>
      <c r="C1958" s="119">
        <v>10762.45</v>
      </c>
    </row>
    <row r="1959" spans="2:3" x14ac:dyDescent="0.35">
      <c r="B1959" s="517">
        <v>43273</v>
      </c>
      <c r="C1959" s="119">
        <v>10821.85</v>
      </c>
    </row>
    <row r="1960" spans="2:3" x14ac:dyDescent="0.35">
      <c r="B1960" s="517">
        <v>43272</v>
      </c>
      <c r="C1960" s="119">
        <v>10741.1</v>
      </c>
    </row>
    <row r="1961" spans="2:3" x14ac:dyDescent="0.35">
      <c r="B1961" s="517">
        <v>43271</v>
      </c>
      <c r="C1961" s="119">
        <v>10772.05</v>
      </c>
    </row>
    <row r="1962" spans="2:3" x14ac:dyDescent="0.35">
      <c r="B1962" s="517">
        <v>43270</v>
      </c>
      <c r="C1962" s="119">
        <v>10710.45</v>
      </c>
    </row>
    <row r="1963" spans="2:3" x14ac:dyDescent="0.35">
      <c r="B1963" s="517">
        <v>43269</v>
      </c>
      <c r="C1963" s="119">
        <v>10799.85</v>
      </c>
    </row>
    <row r="1964" spans="2:3" x14ac:dyDescent="0.35">
      <c r="B1964" s="517">
        <v>43266</v>
      </c>
      <c r="C1964" s="119">
        <v>10817.7</v>
      </c>
    </row>
    <row r="1965" spans="2:3" x14ac:dyDescent="0.35">
      <c r="B1965" s="517">
        <v>43265</v>
      </c>
      <c r="C1965" s="119">
        <v>10808.05</v>
      </c>
    </row>
    <row r="1966" spans="2:3" x14ac:dyDescent="0.35">
      <c r="B1966" s="517">
        <v>43264</v>
      </c>
      <c r="C1966" s="119">
        <v>10856.7</v>
      </c>
    </row>
    <row r="1967" spans="2:3" x14ac:dyDescent="0.35">
      <c r="B1967" s="517">
        <v>43263</v>
      </c>
      <c r="C1967" s="119">
        <v>10842.85</v>
      </c>
    </row>
    <row r="1968" spans="2:3" x14ac:dyDescent="0.35">
      <c r="B1968" s="517">
        <v>43262</v>
      </c>
      <c r="C1968" s="119">
        <v>10786.95</v>
      </c>
    </row>
    <row r="1969" spans="2:3" x14ac:dyDescent="0.35">
      <c r="B1969" s="517">
        <v>43259</v>
      </c>
      <c r="C1969" s="119">
        <v>10767.65</v>
      </c>
    </row>
    <row r="1970" spans="2:3" x14ac:dyDescent="0.35">
      <c r="B1970" s="517">
        <v>43258</v>
      </c>
      <c r="C1970" s="119">
        <v>10768.35</v>
      </c>
    </row>
    <row r="1971" spans="2:3" x14ac:dyDescent="0.35">
      <c r="B1971" s="517">
        <v>43257</v>
      </c>
      <c r="C1971" s="119">
        <v>10684.65</v>
      </c>
    </row>
    <row r="1972" spans="2:3" x14ac:dyDescent="0.35">
      <c r="B1972" s="517">
        <v>43256</v>
      </c>
      <c r="C1972" s="119">
        <v>10593.15</v>
      </c>
    </row>
    <row r="1973" spans="2:3" x14ac:dyDescent="0.35">
      <c r="B1973" s="517">
        <v>43255</v>
      </c>
      <c r="C1973" s="119">
        <v>10628.5</v>
      </c>
    </row>
    <row r="1974" spans="2:3" x14ac:dyDescent="0.35">
      <c r="B1974" s="517">
        <v>43252</v>
      </c>
      <c r="C1974" s="119">
        <v>10696.2</v>
      </c>
    </row>
    <row r="1975" spans="2:3" x14ac:dyDescent="0.35">
      <c r="B1975" s="517">
        <v>43251</v>
      </c>
      <c r="C1975" s="119">
        <v>10736.15</v>
      </c>
    </row>
    <row r="1976" spans="2:3" x14ac:dyDescent="0.35">
      <c r="B1976" s="517">
        <v>43250</v>
      </c>
      <c r="C1976" s="119">
        <v>10614.35</v>
      </c>
    </row>
    <row r="1977" spans="2:3" x14ac:dyDescent="0.35">
      <c r="B1977" s="517">
        <v>43249</v>
      </c>
      <c r="C1977" s="119">
        <v>10633.3</v>
      </c>
    </row>
    <row r="1978" spans="2:3" x14ac:dyDescent="0.35">
      <c r="B1978" s="517">
        <v>43248</v>
      </c>
      <c r="C1978" s="119">
        <v>10688.65</v>
      </c>
    </row>
    <row r="1979" spans="2:3" x14ac:dyDescent="0.35">
      <c r="B1979" s="517">
        <v>43245</v>
      </c>
      <c r="C1979" s="119">
        <v>10605.15</v>
      </c>
    </row>
    <row r="1980" spans="2:3" x14ac:dyDescent="0.35">
      <c r="B1980" s="517">
        <v>43244</v>
      </c>
      <c r="C1980" s="119">
        <v>10513.85</v>
      </c>
    </row>
    <row r="1981" spans="2:3" x14ac:dyDescent="0.35">
      <c r="B1981" s="517">
        <v>43243</v>
      </c>
      <c r="C1981" s="119">
        <v>10430.35</v>
      </c>
    </row>
    <row r="1982" spans="2:3" x14ac:dyDescent="0.35">
      <c r="B1982" s="517">
        <v>43242</v>
      </c>
      <c r="C1982" s="119">
        <v>10536.7</v>
      </c>
    </row>
    <row r="1983" spans="2:3" x14ac:dyDescent="0.35">
      <c r="B1983" s="517">
        <v>43241</v>
      </c>
      <c r="C1983" s="119">
        <v>10516.7</v>
      </c>
    </row>
    <row r="1984" spans="2:3" x14ac:dyDescent="0.35">
      <c r="B1984" s="517">
        <v>43238</v>
      </c>
      <c r="C1984" s="119">
        <v>10596.4</v>
      </c>
    </row>
    <row r="1985" spans="2:3" x14ac:dyDescent="0.35">
      <c r="B1985" s="517">
        <v>43237</v>
      </c>
      <c r="C1985" s="119">
        <v>10682.7</v>
      </c>
    </row>
    <row r="1986" spans="2:3" x14ac:dyDescent="0.35">
      <c r="B1986" s="517">
        <v>43236</v>
      </c>
      <c r="C1986" s="119">
        <v>10741.1</v>
      </c>
    </row>
    <row r="1987" spans="2:3" x14ac:dyDescent="0.35">
      <c r="B1987" s="517">
        <v>43235</v>
      </c>
      <c r="C1987" s="119">
        <v>10801.85</v>
      </c>
    </row>
    <row r="1988" spans="2:3" x14ac:dyDescent="0.35">
      <c r="B1988" s="517">
        <v>43234</v>
      </c>
      <c r="C1988" s="119">
        <v>10806.6</v>
      </c>
    </row>
    <row r="1989" spans="2:3" x14ac:dyDescent="0.35">
      <c r="B1989" s="517">
        <v>43231</v>
      </c>
      <c r="C1989" s="119">
        <v>10806.5</v>
      </c>
    </row>
    <row r="1990" spans="2:3" x14ac:dyDescent="0.35">
      <c r="B1990" s="517">
        <v>43230</v>
      </c>
      <c r="C1990" s="119">
        <v>10716.55</v>
      </c>
    </row>
    <row r="1991" spans="2:3" x14ac:dyDescent="0.35">
      <c r="B1991" s="517">
        <v>43229</v>
      </c>
      <c r="C1991" s="119">
        <v>10741.7</v>
      </c>
    </row>
    <row r="1992" spans="2:3" x14ac:dyDescent="0.35">
      <c r="B1992" s="517">
        <v>43228</v>
      </c>
      <c r="C1992" s="119">
        <v>10717.8</v>
      </c>
    </row>
    <row r="1993" spans="2:3" x14ac:dyDescent="0.35">
      <c r="B1993" s="517">
        <v>43227</v>
      </c>
      <c r="C1993" s="119">
        <v>10715.5</v>
      </c>
    </row>
    <row r="1994" spans="2:3" x14ac:dyDescent="0.35">
      <c r="B1994" s="517">
        <v>43224</v>
      </c>
      <c r="C1994" s="119">
        <v>10618.25</v>
      </c>
    </row>
    <row r="1995" spans="2:3" x14ac:dyDescent="0.35">
      <c r="B1995" s="517">
        <v>43223</v>
      </c>
      <c r="C1995" s="119">
        <v>10679.65</v>
      </c>
    </row>
    <row r="1996" spans="2:3" x14ac:dyDescent="0.35">
      <c r="B1996" s="517">
        <v>43222</v>
      </c>
      <c r="C1996" s="119">
        <v>10718.05</v>
      </c>
    </row>
    <row r="1997" spans="2:3" x14ac:dyDescent="0.35">
      <c r="B1997" s="517">
        <v>43220</v>
      </c>
      <c r="C1997" s="119">
        <v>10739.35</v>
      </c>
    </row>
    <row r="1998" spans="2:3" x14ac:dyDescent="0.35">
      <c r="B1998" s="517">
        <v>43217</v>
      </c>
      <c r="C1998" s="119">
        <v>10692.3</v>
      </c>
    </row>
    <row r="1999" spans="2:3" x14ac:dyDescent="0.35">
      <c r="B1999" s="517">
        <v>43216</v>
      </c>
      <c r="C1999" s="119">
        <v>10617.8</v>
      </c>
    </row>
    <row r="2000" spans="2:3" x14ac:dyDescent="0.35">
      <c r="B2000" s="517">
        <v>43215</v>
      </c>
      <c r="C2000" s="119">
        <v>10570.55</v>
      </c>
    </row>
    <row r="2001" spans="2:3" x14ac:dyDescent="0.35">
      <c r="B2001" s="517">
        <v>43214</v>
      </c>
      <c r="C2001" s="119">
        <v>10614.35</v>
      </c>
    </row>
    <row r="2002" spans="2:3" x14ac:dyDescent="0.35">
      <c r="B2002" s="517">
        <v>43213</v>
      </c>
      <c r="C2002" s="119">
        <v>10584.7</v>
      </c>
    </row>
    <row r="2003" spans="2:3" x14ac:dyDescent="0.35">
      <c r="B2003" s="517">
        <v>43210</v>
      </c>
      <c r="C2003" s="119">
        <v>10564.05</v>
      </c>
    </row>
    <row r="2004" spans="2:3" x14ac:dyDescent="0.35">
      <c r="B2004" s="517">
        <v>43209</v>
      </c>
      <c r="C2004" s="119">
        <v>10565.3</v>
      </c>
    </row>
    <row r="2005" spans="2:3" x14ac:dyDescent="0.35">
      <c r="B2005" s="517">
        <v>43208</v>
      </c>
      <c r="C2005" s="119">
        <v>10526.2</v>
      </c>
    </row>
    <row r="2006" spans="2:3" x14ac:dyDescent="0.35">
      <c r="B2006" s="517">
        <v>43207</v>
      </c>
      <c r="C2006" s="119">
        <v>10548.7</v>
      </c>
    </row>
    <row r="2007" spans="2:3" x14ac:dyDescent="0.35">
      <c r="B2007" s="517">
        <v>43206</v>
      </c>
      <c r="C2007" s="119">
        <v>10528.35</v>
      </c>
    </row>
    <row r="2008" spans="2:3" x14ac:dyDescent="0.35">
      <c r="B2008" s="517">
        <v>43203</v>
      </c>
      <c r="C2008" s="119">
        <v>10480.6</v>
      </c>
    </row>
    <row r="2009" spans="2:3" x14ac:dyDescent="0.35">
      <c r="B2009" s="517">
        <v>43202</v>
      </c>
      <c r="C2009" s="119">
        <v>10458.65</v>
      </c>
    </row>
    <row r="2010" spans="2:3" x14ac:dyDescent="0.35">
      <c r="B2010" s="517">
        <v>43201</v>
      </c>
      <c r="C2010" s="119">
        <v>10417.15</v>
      </c>
    </row>
    <row r="2011" spans="2:3" x14ac:dyDescent="0.35">
      <c r="B2011" s="517">
        <v>43200</v>
      </c>
      <c r="C2011" s="119">
        <v>10402.25</v>
      </c>
    </row>
    <row r="2012" spans="2:3" x14ac:dyDescent="0.35">
      <c r="B2012" s="517">
        <v>43199</v>
      </c>
      <c r="C2012" s="119">
        <v>10379.35</v>
      </c>
    </row>
    <row r="2013" spans="2:3" x14ac:dyDescent="0.35">
      <c r="B2013" s="517">
        <v>43196</v>
      </c>
      <c r="C2013" s="119">
        <v>10331.6</v>
      </c>
    </row>
    <row r="2014" spans="2:3" x14ac:dyDescent="0.35">
      <c r="B2014" s="517">
        <v>43195</v>
      </c>
      <c r="C2014" s="119">
        <v>10325.15</v>
      </c>
    </row>
    <row r="2015" spans="2:3" x14ac:dyDescent="0.35">
      <c r="B2015" s="517">
        <v>43194</v>
      </c>
      <c r="C2015" s="119">
        <v>10128.4</v>
      </c>
    </row>
    <row r="2016" spans="2:3" x14ac:dyDescent="0.35">
      <c r="B2016" s="517">
        <v>43193</v>
      </c>
      <c r="C2016" s="119">
        <v>10245</v>
      </c>
    </row>
    <row r="2017" spans="2:3" x14ac:dyDescent="0.35">
      <c r="B2017" s="517">
        <v>43192</v>
      </c>
      <c r="C2017" s="119">
        <v>10211.799999999999</v>
      </c>
    </row>
    <row r="2018" spans="2:3" x14ac:dyDescent="0.35">
      <c r="B2018" s="517">
        <v>43187</v>
      </c>
      <c r="C2018" s="119">
        <v>10113.700000000001</v>
      </c>
    </row>
    <row r="2019" spans="2:3" x14ac:dyDescent="0.35">
      <c r="B2019" s="517">
        <v>43186</v>
      </c>
      <c r="C2019" s="119">
        <v>10184.15</v>
      </c>
    </row>
    <row r="2020" spans="2:3" x14ac:dyDescent="0.35">
      <c r="B2020" s="517">
        <v>43185</v>
      </c>
      <c r="C2020" s="119">
        <v>10130.65</v>
      </c>
    </row>
    <row r="2021" spans="2:3" x14ac:dyDescent="0.35">
      <c r="B2021" s="517">
        <v>43182</v>
      </c>
      <c r="C2021" s="119">
        <v>9998.0499999999993</v>
      </c>
    </row>
    <row r="2022" spans="2:3" x14ac:dyDescent="0.35">
      <c r="B2022" s="517">
        <v>43181</v>
      </c>
      <c r="C2022" s="119">
        <v>10114.75</v>
      </c>
    </row>
    <row r="2023" spans="2:3" x14ac:dyDescent="0.35">
      <c r="B2023" s="517">
        <v>43180</v>
      </c>
      <c r="C2023" s="119">
        <v>10155.25</v>
      </c>
    </row>
    <row r="2024" spans="2:3" x14ac:dyDescent="0.35">
      <c r="B2024" s="517">
        <v>43179</v>
      </c>
      <c r="C2024" s="119">
        <v>10124.35</v>
      </c>
    </row>
    <row r="2025" spans="2:3" x14ac:dyDescent="0.35">
      <c r="B2025" s="517">
        <v>43178</v>
      </c>
      <c r="C2025" s="119">
        <v>10094.25</v>
      </c>
    </row>
    <row r="2026" spans="2:3" x14ac:dyDescent="0.35">
      <c r="B2026" s="517">
        <v>43175</v>
      </c>
      <c r="C2026" s="119">
        <v>10195.15</v>
      </c>
    </row>
    <row r="2027" spans="2:3" x14ac:dyDescent="0.35">
      <c r="B2027" s="517">
        <v>43174</v>
      </c>
      <c r="C2027" s="119">
        <v>10360.15</v>
      </c>
    </row>
    <row r="2028" spans="2:3" x14ac:dyDescent="0.35">
      <c r="B2028" s="517">
        <v>43173</v>
      </c>
      <c r="C2028" s="119">
        <v>10410.9</v>
      </c>
    </row>
    <row r="2029" spans="2:3" x14ac:dyDescent="0.35">
      <c r="B2029" s="517">
        <v>43172</v>
      </c>
      <c r="C2029" s="119">
        <v>10426.85</v>
      </c>
    </row>
    <row r="2030" spans="2:3" x14ac:dyDescent="0.35">
      <c r="B2030" s="517">
        <v>43171</v>
      </c>
      <c r="C2030" s="119">
        <v>10421.4</v>
      </c>
    </row>
    <row r="2031" spans="2:3" x14ac:dyDescent="0.35">
      <c r="B2031" s="517">
        <v>43168</v>
      </c>
      <c r="C2031" s="119">
        <v>10226.85</v>
      </c>
    </row>
    <row r="2032" spans="2:3" x14ac:dyDescent="0.35">
      <c r="B2032" s="517">
        <v>43167</v>
      </c>
      <c r="C2032" s="119">
        <v>10242.65</v>
      </c>
    </row>
    <row r="2033" spans="2:3" x14ac:dyDescent="0.35">
      <c r="B2033" s="517">
        <v>43166</v>
      </c>
      <c r="C2033" s="119">
        <v>10154.200000000001</v>
      </c>
    </row>
    <row r="2034" spans="2:3" x14ac:dyDescent="0.35">
      <c r="B2034" s="517">
        <v>43165</v>
      </c>
      <c r="C2034" s="119">
        <v>10249.25</v>
      </c>
    </row>
    <row r="2035" spans="2:3" x14ac:dyDescent="0.35">
      <c r="B2035" s="517">
        <v>43164</v>
      </c>
      <c r="C2035" s="119">
        <v>10358.85</v>
      </c>
    </row>
    <row r="2036" spans="2:3" x14ac:dyDescent="0.35">
      <c r="B2036" s="517">
        <v>43160</v>
      </c>
      <c r="C2036" s="119">
        <v>10458.35</v>
      </c>
    </row>
    <row r="2037" spans="2:3" x14ac:dyDescent="0.35">
      <c r="B2037" s="517">
        <v>43159</v>
      </c>
      <c r="C2037" s="119">
        <v>10492.85</v>
      </c>
    </row>
    <row r="2038" spans="2:3" x14ac:dyDescent="0.35">
      <c r="B2038" s="517">
        <v>43158</v>
      </c>
      <c r="C2038" s="119">
        <v>10554.3</v>
      </c>
    </row>
    <row r="2039" spans="2:3" x14ac:dyDescent="0.35">
      <c r="B2039" s="517">
        <v>43157</v>
      </c>
      <c r="C2039" s="119">
        <v>10582.6</v>
      </c>
    </row>
    <row r="2040" spans="2:3" x14ac:dyDescent="0.35">
      <c r="B2040" s="517">
        <v>43154</v>
      </c>
      <c r="C2040" s="119">
        <v>10491.05</v>
      </c>
    </row>
    <row r="2041" spans="2:3" x14ac:dyDescent="0.35">
      <c r="B2041" s="517">
        <v>43153</v>
      </c>
      <c r="C2041" s="119">
        <v>10382.700000000001</v>
      </c>
    </row>
    <row r="2042" spans="2:3" x14ac:dyDescent="0.35">
      <c r="B2042" s="517">
        <v>43152</v>
      </c>
      <c r="C2042" s="119">
        <v>10397.450000000001</v>
      </c>
    </row>
    <row r="2043" spans="2:3" x14ac:dyDescent="0.35">
      <c r="B2043" s="517">
        <v>43151</v>
      </c>
      <c r="C2043" s="119">
        <v>10360.4</v>
      </c>
    </row>
    <row r="2044" spans="2:3" x14ac:dyDescent="0.35">
      <c r="B2044" s="517">
        <v>43150</v>
      </c>
      <c r="C2044" s="119">
        <v>10378.4</v>
      </c>
    </row>
    <row r="2045" spans="2:3" x14ac:dyDescent="0.35">
      <c r="B2045" s="517">
        <v>43147</v>
      </c>
      <c r="C2045" s="119">
        <v>10452.299999999999</v>
      </c>
    </row>
    <row r="2046" spans="2:3" x14ac:dyDescent="0.35">
      <c r="B2046" s="517">
        <v>43146</v>
      </c>
      <c r="C2046" s="119">
        <v>10545.5</v>
      </c>
    </row>
    <row r="2047" spans="2:3" x14ac:dyDescent="0.35">
      <c r="B2047" s="517">
        <v>43145</v>
      </c>
      <c r="C2047" s="119">
        <v>10500.9</v>
      </c>
    </row>
    <row r="2048" spans="2:3" x14ac:dyDescent="0.35">
      <c r="B2048" s="517">
        <v>43143</v>
      </c>
      <c r="C2048" s="119">
        <v>10539.75</v>
      </c>
    </row>
    <row r="2049" spans="2:3" x14ac:dyDescent="0.35">
      <c r="B2049" s="517">
        <v>43140</v>
      </c>
      <c r="C2049" s="119">
        <v>10454.950000000001</v>
      </c>
    </row>
    <row r="2050" spans="2:3" x14ac:dyDescent="0.35">
      <c r="B2050" s="517">
        <v>43139</v>
      </c>
      <c r="C2050" s="119">
        <v>10576.85</v>
      </c>
    </row>
    <row r="2051" spans="2:3" x14ac:dyDescent="0.35">
      <c r="B2051" s="517">
        <v>43138</v>
      </c>
      <c r="C2051" s="119">
        <v>10476.700000000001</v>
      </c>
    </row>
    <row r="2052" spans="2:3" x14ac:dyDescent="0.35">
      <c r="B2052" s="517">
        <v>43137</v>
      </c>
      <c r="C2052" s="119">
        <v>10498.25</v>
      </c>
    </row>
    <row r="2053" spans="2:3" x14ac:dyDescent="0.35">
      <c r="B2053" s="517">
        <v>43136</v>
      </c>
      <c r="C2053" s="119">
        <v>10666.55</v>
      </c>
    </row>
    <row r="2054" spans="2:3" x14ac:dyDescent="0.35">
      <c r="B2054" s="517">
        <v>43133</v>
      </c>
      <c r="C2054" s="119">
        <v>10760.6</v>
      </c>
    </row>
    <row r="2055" spans="2:3" x14ac:dyDescent="0.35">
      <c r="B2055" s="517">
        <v>43132</v>
      </c>
      <c r="C2055" s="119">
        <v>11016.9</v>
      </c>
    </row>
    <row r="2056" spans="2:3" x14ac:dyDescent="0.35">
      <c r="B2056" s="517">
        <v>43131</v>
      </c>
      <c r="C2056" s="119">
        <v>11027.7</v>
      </c>
    </row>
    <row r="2057" spans="2:3" x14ac:dyDescent="0.35">
      <c r="B2057" s="517">
        <v>43130</v>
      </c>
      <c r="C2057" s="119">
        <v>11049.65</v>
      </c>
    </row>
    <row r="2058" spans="2:3" x14ac:dyDescent="0.35">
      <c r="B2058" s="517">
        <v>43129</v>
      </c>
      <c r="C2058" s="119">
        <v>11130.4</v>
      </c>
    </row>
    <row r="2059" spans="2:3" x14ac:dyDescent="0.35">
      <c r="B2059" s="517">
        <v>43125</v>
      </c>
      <c r="C2059" s="119">
        <v>11069.65</v>
      </c>
    </row>
    <row r="2060" spans="2:3" x14ac:dyDescent="0.35">
      <c r="B2060" s="517">
        <v>43124</v>
      </c>
      <c r="C2060" s="119">
        <v>11086</v>
      </c>
    </row>
    <row r="2061" spans="2:3" x14ac:dyDescent="0.35">
      <c r="B2061" s="517">
        <v>43123</v>
      </c>
      <c r="C2061" s="119">
        <v>11083.7</v>
      </c>
    </row>
    <row r="2062" spans="2:3" x14ac:dyDescent="0.35">
      <c r="B2062" s="517">
        <v>43122</v>
      </c>
      <c r="C2062" s="119">
        <v>10966.2</v>
      </c>
    </row>
    <row r="2063" spans="2:3" x14ac:dyDescent="0.35">
      <c r="B2063" s="517">
        <v>43119</v>
      </c>
      <c r="C2063" s="119">
        <v>10894.7</v>
      </c>
    </row>
    <row r="2064" spans="2:3" x14ac:dyDescent="0.35">
      <c r="B2064" s="517">
        <v>43118</v>
      </c>
      <c r="C2064" s="119">
        <v>10817</v>
      </c>
    </row>
    <row r="2065" spans="2:3" x14ac:dyDescent="0.35">
      <c r="B2065" s="517">
        <v>43117</v>
      </c>
      <c r="C2065" s="119">
        <v>10788.55</v>
      </c>
    </row>
    <row r="2066" spans="2:3" x14ac:dyDescent="0.35">
      <c r="B2066" s="517">
        <v>43116</v>
      </c>
      <c r="C2066" s="119">
        <v>10700.45</v>
      </c>
    </row>
    <row r="2067" spans="2:3" x14ac:dyDescent="0.35">
      <c r="B2067" s="517">
        <v>43115</v>
      </c>
      <c r="C2067" s="119">
        <v>10741.55</v>
      </c>
    </row>
    <row r="2068" spans="2:3" x14ac:dyDescent="0.35">
      <c r="B2068" s="517">
        <v>43112</v>
      </c>
      <c r="C2068" s="119">
        <v>10681.25</v>
      </c>
    </row>
    <row r="2069" spans="2:3" x14ac:dyDescent="0.35">
      <c r="B2069" s="517">
        <v>43111</v>
      </c>
      <c r="C2069" s="119">
        <v>10651.2</v>
      </c>
    </row>
    <row r="2070" spans="2:3" x14ac:dyDescent="0.35">
      <c r="B2070" s="517">
        <v>43110</v>
      </c>
      <c r="C2070" s="119">
        <v>10632.2</v>
      </c>
    </row>
    <row r="2071" spans="2:3" x14ac:dyDescent="0.35">
      <c r="B2071" s="517">
        <v>43109</v>
      </c>
      <c r="C2071" s="119">
        <v>10637</v>
      </c>
    </row>
    <row r="2072" spans="2:3" x14ac:dyDescent="0.35">
      <c r="B2072" s="517">
        <v>43108</v>
      </c>
      <c r="C2072" s="119">
        <v>10623.6</v>
      </c>
    </row>
    <row r="2073" spans="2:3" x14ac:dyDescent="0.35">
      <c r="B2073" s="517">
        <v>43105</v>
      </c>
      <c r="C2073" s="119">
        <v>10558.85</v>
      </c>
    </row>
    <row r="2074" spans="2:3" x14ac:dyDescent="0.35">
      <c r="B2074" s="517">
        <v>43104</v>
      </c>
      <c r="C2074" s="119">
        <v>10504.8</v>
      </c>
    </row>
    <row r="2075" spans="2:3" x14ac:dyDescent="0.35">
      <c r="B2075" s="517">
        <v>43103</v>
      </c>
      <c r="C2075" s="119">
        <v>10443.200000000001</v>
      </c>
    </row>
    <row r="2076" spans="2:3" x14ac:dyDescent="0.35">
      <c r="B2076" s="517">
        <v>43102</v>
      </c>
      <c r="C2076" s="119">
        <v>10442.200000000001</v>
      </c>
    </row>
    <row r="2077" spans="2:3" x14ac:dyDescent="0.35">
      <c r="B2077" s="517">
        <v>43101</v>
      </c>
      <c r="C2077" s="119">
        <v>10435.549999999999</v>
      </c>
    </row>
    <row r="2078" spans="2:3" x14ac:dyDescent="0.35">
      <c r="B2078" s="517">
        <v>43098</v>
      </c>
      <c r="C2078" s="119">
        <v>10530.7</v>
      </c>
    </row>
    <row r="2079" spans="2:3" x14ac:dyDescent="0.35">
      <c r="B2079" s="517">
        <v>43097</v>
      </c>
      <c r="C2079" s="119">
        <v>10477.9</v>
      </c>
    </row>
    <row r="2080" spans="2:3" x14ac:dyDescent="0.35">
      <c r="B2080" s="517">
        <v>43096</v>
      </c>
      <c r="C2080" s="119">
        <v>10490.75</v>
      </c>
    </row>
    <row r="2081" spans="2:3" x14ac:dyDescent="0.35">
      <c r="B2081" s="517">
        <v>43095</v>
      </c>
      <c r="C2081" s="119">
        <v>10531.5</v>
      </c>
    </row>
    <row r="2082" spans="2:3" x14ac:dyDescent="0.35">
      <c r="B2082" s="517">
        <v>43091</v>
      </c>
      <c r="C2082" s="119">
        <v>10493</v>
      </c>
    </row>
    <row r="2083" spans="2:3" x14ac:dyDescent="0.35">
      <c r="B2083" s="517">
        <v>43090</v>
      </c>
      <c r="C2083" s="119">
        <v>10440.299999999999</v>
      </c>
    </row>
    <row r="2084" spans="2:3" x14ac:dyDescent="0.35">
      <c r="B2084" s="517">
        <v>43089</v>
      </c>
      <c r="C2084" s="119">
        <v>10444.200000000001</v>
      </c>
    </row>
    <row r="2085" spans="2:3" x14ac:dyDescent="0.35">
      <c r="B2085" s="517">
        <v>43088</v>
      </c>
      <c r="C2085" s="119">
        <v>10463.200000000001</v>
      </c>
    </row>
    <row r="2086" spans="2:3" x14ac:dyDescent="0.35">
      <c r="B2086" s="517">
        <v>43087</v>
      </c>
      <c r="C2086" s="119">
        <v>10388.75</v>
      </c>
    </row>
    <row r="2087" spans="2:3" x14ac:dyDescent="0.35">
      <c r="B2087" s="517">
        <v>43084</v>
      </c>
      <c r="C2087" s="119">
        <v>10333.25</v>
      </c>
    </row>
    <row r="2088" spans="2:3" x14ac:dyDescent="0.35">
      <c r="B2088" s="517">
        <v>43083</v>
      </c>
      <c r="C2088" s="119">
        <v>10252.1</v>
      </c>
    </row>
    <row r="2089" spans="2:3" x14ac:dyDescent="0.35">
      <c r="B2089" s="517">
        <v>43082</v>
      </c>
      <c r="C2089" s="119">
        <v>10192.950000000001</v>
      </c>
    </row>
    <row r="2090" spans="2:3" x14ac:dyDescent="0.35">
      <c r="B2090" s="517">
        <v>43081</v>
      </c>
      <c r="C2090" s="119">
        <v>10240.15</v>
      </c>
    </row>
    <row r="2091" spans="2:3" x14ac:dyDescent="0.35">
      <c r="B2091" s="517">
        <v>43080</v>
      </c>
      <c r="C2091" s="119">
        <v>10322.25</v>
      </c>
    </row>
    <row r="2092" spans="2:3" x14ac:dyDescent="0.35">
      <c r="B2092" s="517">
        <v>43077</v>
      </c>
      <c r="C2092" s="119">
        <v>10265.65</v>
      </c>
    </row>
    <row r="2093" spans="2:3" x14ac:dyDescent="0.35">
      <c r="B2093" s="517">
        <v>43076</v>
      </c>
      <c r="C2093" s="119">
        <v>10166.700000000001</v>
      </c>
    </row>
    <row r="2094" spans="2:3" x14ac:dyDescent="0.35">
      <c r="B2094" s="517">
        <v>43075</v>
      </c>
      <c r="C2094" s="119">
        <v>10044.1</v>
      </c>
    </row>
    <row r="2095" spans="2:3" x14ac:dyDescent="0.35">
      <c r="B2095" s="517">
        <v>43074</v>
      </c>
      <c r="C2095" s="119">
        <v>10118.25</v>
      </c>
    </row>
    <row r="2096" spans="2:3" x14ac:dyDescent="0.35">
      <c r="B2096" s="517">
        <v>43073</v>
      </c>
      <c r="C2096" s="119">
        <v>10127.75</v>
      </c>
    </row>
    <row r="2097" spans="2:3" x14ac:dyDescent="0.35">
      <c r="B2097" s="517">
        <v>43070</v>
      </c>
      <c r="C2097" s="119">
        <v>10121.799999999999</v>
      </c>
    </row>
    <row r="2098" spans="2:3" x14ac:dyDescent="0.35">
      <c r="B2098" s="517">
        <v>43069</v>
      </c>
      <c r="C2098" s="119">
        <v>10226.549999999999</v>
      </c>
    </row>
    <row r="2099" spans="2:3" x14ac:dyDescent="0.35">
      <c r="B2099" s="517">
        <v>43068</v>
      </c>
      <c r="C2099" s="119">
        <v>10361.299999999999</v>
      </c>
    </row>
    <row r="2100" spans="2:3" x14ac:dyDescent="0.35">
      <c r="B2100" s="517">
        <v>43067</v>
      </c>
      <c r="C2100" s="119">
        <v>10370.25</v>
      </c>
    </row>
    <row r="2101" spans="2:3" x14ac:dyDescent="0.35">
      <c r="B2101" s="517">
        <v>43066</v>
      </c>
      <c r="C2101" s="119">
        <v>10399.549999999999</v>
      </c>
    </row>
    <row r="2102" spans="2:3" x14ac:dyDescent="0.35">
      <c r="B2102" s="517">
        <v>43063</v>
      </c>
      <c r="C2102" s="119">
        <v>10389.700000000001</v>
      </c>
    </row>
    <row r="2103" spans="2:3" x14ac:dyDescent="0.35">
      <c r="B2103" s="517">
        <v>43062</v>
      </c>
      <c r="C2103" s="119">
        <v>10348.75</v>
      </c>
    </row>
    <row r="2104" spans="2:3" x14ac:dyDescent="0.35">
      <c r="B2104" s="517">
        <v>43061</v>
      </c>
      <c r="C2104" s="119">
        <v>10342.299999999999</v>
      </c>
    </row>
    <row r="2105" spans="2:3" x14ac:dyDescent="0.35">
      <c r="B2105" s="517">
        <v>43060</v>
      </c>
      <c r="C2105" s="119">
        <v>10326.9</v>
      </c>
    </row>
    <row r="2106" spans="2:3" x14ac:dyDescent="0.35">
      <c r="B2106" s="517">
        <v>43059</v>
      </c>
      <c r="C2106" s="119">
        <v>10298.75</v>
      </c>
    </row>
    <row r="2107" spans="2:3" x14ac:dyDescent="0.35">
      <c r="B2107" s="517">
        <v>43056</v>
      </c>
      <c r="C2107" s="119">
        <v>10283.6</v>
      </c>
    </row>
    <row r="2108" spans="2:3" x14ac:dyDescent="0.35">
      <c r="B2108" s="517">
        <v>43055</v>
      </c>
      <c r="C2108" s="119">
        <v>10214.75</v>
      </c>
    </row>
    <row r="2109" spans="2:3" x14ac:dyDescent="0.35">
      <c r="B2109" s="517">
        <v>43054</v>
      </c>
      <c r="C2109" s="119">
        <v>10118.049999999999</v>
      </c>
    </row>
    <row r="2110" spans="2:3" x14ac:dyDescent="0.35">
      <c r="B2110" s="517">
        <v>43053</v>
      </c>
      <c r="C2110" s="119">
        <v>10186.6</v>
      </c>
    </row>
    <row r="2111" spans="2:3" x14ac:dyDescent="0.35">
      <c r="B2111" s="517">
        <v>43052</v>
      </c>
      <c r="C2111" s="119">
        <v>10224.950000000001</v>
      </c>
    </row>
    <row r="2112" spans="2:3" x14ac:dyDescent="0.35">
      <c r="B2112" s="517">
        <v>43049</v>
      </c>
      <c r="C2112" s="119">
        <v>10321.75</v>
      </c>
    </row>
    <row r="2113" spans="2:3" x14ac:dyDescent="0.35">
      <c r="B2113" s="517">
        <v>43048</v>
      </c>
      <c r="C2113" s="119">
        <v>10308.950000000001</v>
      </c>
    </row>
    <row r="2114" spans="2:3" x14ac:dyDescent="0.35">
      <c r="B2114" s="517">
        <v>43047</v>
      </c>
      <c r="C2114" s="119">
        <v>10303.15</v>
      </c>
    </row>
    <row r="2115" spans="2:3" x14ac:dyDescent="0.35">
      <c r="B2115" s="517">
        <v>43046</v>
      </c>
      <c r="C2115" s="119">
        <v>10350.15</v>
      </c>
    </row>
    <row r="2116" spans="2:3" x14ac:dyDescent="0.35">
      <c r="B2116" s="517">
        <v>43045</v>
      </c>
      <c r="C2116" s="119">
        <v>10451.799999999999</v>
      </c>
    </row>
    <row r="2117" spans="2:3" x14ac:dyDescent="0.35">
      <c r="B2117" s="517">
        <v>43042</v>
      </c>
      <c r="C2117" s="119">
        <v>10452.5</v>
      </c>
    </row>
    <row r="2118" spans="2:3" x14ac:dyDescent="0.35">
      <c r="B2118" s="517">
        <v>43041</v>
      </c>
      <c r="C2118" s="119">
        <v>10423.799999999999</v>
      </c>
    </row>
    <row r="2119" spans="2:3" x14ac:dyDescent="0.35">
      <c r="B2119" s="517">
        <v>43040</v>
      </c>
      <c r="C2119" s="119">
        <v>10440.5</v>
      </c>
    </row>
    <row r="2120" spans="2:3" x14ac:dyDescent="0.35">
      <c r="B2120" s="517">
        <v>43039</v>
      </c>
      <c r="C2120" s="119">
        <v>10335.299999999999</v>
      </c>
    </row>
    <row r="2121" spans="2:3" x14ac:dyDescent="0.35">
      <c r="B2121" s="517">
        <v>43038</v>
      </c>
      <c r="C2121" s="119">
        <v>10363.65</v>
      </c>
    </row>
    <row r="2122" spans="2:3" x14ac:dyDescent="0.35">
      <c r="B2122" s="517">
        <v>43035</v>
      </c>
      <c r="C2122" s="119">
        <v>10323.049999999999</v>
      </c>
    </row>
    <row r="2123" spans="2:3" x14ac:dyDescent="0.35">
      <c r="B2123" s="517">
        <v>43034</v>
      </c>
      <c r="C2123" s="119">
        <v>10343.799999999999</v>
      </c>
    </row>
    <row r="2124" spans="2:3" x14ac:dyDescent="0.35">
      <c r="B2124" s="517">
        <v>43033</v>
      </c>
      <c r="C2124" s="119">
        <v>10295.35</v>
      </c>
    </row>
    <row r="2125" spans="2:3" x14ac:dyDescent="0.35">
      <c r="B2125" s="517">
        <v>43032</v>
      </c>
      <c r="C2125" s="119">
        <v>10207.700000000001</v>
      </c>
    </row>
    <row r="2126" spans="2:3" x14ac:dyDescent="0.35">
      <c r="B2126" s="517">
        <v>43031</v>
      </c>
      <c r="C2126" s="119">
        <v>10184.85</v>
      </c>
    </row>
    <row r="2127" spans="2:3" x14ac:dyDescent="0.35">
      <c r="B2127" s="517">
        <v>43027</v>
      </c>
      <c r="C2127" s="119">
        <v>10146.549999999999</v>
      </c>
    </row>
    <row r="2128" spans="2:3" x14ac:dyDescent="0.35">
      <c r="B2128" s="517">
        <v>43026</v>
      </c>
      <c r="C2128" s="119">
        <v>10210.85</v>
      </c>
    </row>
    <row r="2129" spans="2:3" x14ac:dyDescent="0.35">
      <c r="B2129" s="517">
        <v>43025</v>
      </c>
      <c r="C2129" s="119">
        <v>10234.450000000001</v>
      </c>
    </row>
    <row r="2130" spans="2:3" x14ac:dyDescent="0.35">
      <c r="B2130" s="517">
        <v>43024</v>
      </c>
      <c r="C2130" s="119">
        <v>10230.85</v>
      </c>
    </row>
    <row r="2131" spans="2:3" x14ac:dyDescent="0.35">
      <c r="B2131" s="517">
        <v>43021</v>
      </c>
      <c r="C2131" s="119">
        <v>10167.450000000001</v>
      </c>
    </row>
    <row r="2132" spans="2:3" x14ac:dyDescent="0.35">
      <c r="B2132" s="517">
        <v>43020</v>
      </c>
      <c r="C2132" s="119">
        <v>10096.4</v>
      </c>
    </row>
    <row r="2133" spans="2:3" x14ac:dyDescent="0.35">
      <c r="B2133" s="517">
        <v>43019</v>
      </c>
      <c r="C2133" s="119">
        <v>9984.7999999999993</v>
      </c>
    </row>
    <row r="2134" spans="2:3" x14ac:dyDescent="0.35">
      <c r="B2134" s="517">
        <v>43018</v>
      </c>
      <c r="C2134" s="119">
        <v>10016.950000000001</v>
      </c>
    </row>
    <row r="2135" spans="2:3" x14ac:dyDescent="0.35">
      <c r="B2135" s="517">
        <v>43017</v>
      </c>
      <c r="C2135" s="119">
        <v>9988.75</v>
      </c>
    </row>
    <row r="2136" spans="2:3" x14ac:dyDescent="0.35">
      <c r="B2136" s="517">
        <v>43014</v>
      </c>
      <c r="C2136" s="119">
        <v>9979.7000000000007</v>
      </c>
    </row>
    <row r="2137" spans="2:3" x14ac:dyDescent="0.35">
      <c r="B2137" s="517">
        <v>43013</v>
      </c>
      <c r="C2137" s="119">
        <v>9888.7000000000007</v>
      </c>
    </row>
    <row r="2138" spans="2:3" x14ac:dyDescent="0.35">
      <c r="B2138" s="517">
        <v>43012</v>
      </c>
      <c r="C2138" s="119">
        <v>9914.9</v>
      </c>
    </row>
    <row r="2139" spans="2:3" x14ac:dyDescent="0.35">
      <c r="B2139" s="517">
        <v>43011</v>
      </c>
      <c r="C2139" s="119">
        <v>9859.5</v>
      </c>
    </row>
    <row r="2140" spans="2:3" x14ac:dyDescent="0.35">
      <c r="B2140" s="517">
        <v>43007</v>
      </c>
      <c r="C2140" s="119">
        <v>9788.6</v>
      </c>
    </row>
    <row r="2141" spans="2:3" x14ac:dyDescent="0.35">
      <c r="B2141" s="517">
        <v>43006</v>
      </c>
      <c r="C2141" s="119">
        <v>9768.9500000000007</v>
      </c>
    </row>
    <row r="2142" spans="2:3" x14ac:dyDescent="0.35">
      <c r="B2142" s="517">
        <v>43005</v>
      </c>
      <c r="C2142" s="119">
        <v>9735.75</v>
      </c>
    </row>
    <row r="2143" spans="2:3" x14ac:dyDescent="0.35">
      <c r="B2143" s="517">
        <v>43004</v>
      </c>
      <c r="C2143" s="119">
        <v>9871.5</v>
      </c>
    </row>
    <row r="2144" spans="2:3" x14ac:dyDescent="0.35">
      <c r="B2144" s="517">
        <v>43003</v>
      </c>
      <c r="C2144" s="119">
        <v>9872.6</v>
      </c>
    </row>
    <row r="2145" spans="2:3" x14ac:dyDescent="0.35">
      <c r="B2145" s="517">
        <v>43000</v>
      </c>
      <c r="C2145" s="119">
        <v>9964.4</v>
      </c>
    </row>
    <row r="2146" spans="2:3" x14ac:dyDescent="0.35">
      <c r="B2146" s="517">
        <v>42999</v>
      </c>
      <c r="C2146" s="119">
        <v>10121.9</v>
      </c>
    </row>
    <row r="2147" spans="2:3" x14ac:dyDescent="0.35">
      <c r="B2147" s="517">
        <v>42998</v>
      </c>
      <c r="C2147" s="119">
        <v>10141.15</v>
      </c>
    </row>
    <row r="2148" spans="2:3" x14ac:dyDescent="0.35">
      <c r="B2148" s="517">
        <v>42997</v>
      </c>
      <c r="C2148" s="119">
        <v>10147.549999999999</v>
      </c>
    </row>
    <row r="2149" spans="2:3" x14ac:dyDescent="0.35">
      <c r="B2149" s="517">
        <v>42996</v>
      </c>
      <c r="C2149" s="119">
        <v>10153.1</v>
      </c>
    </row>
    <row r="2150" spans="2:3" x14ac:dyDescent="0.35">
      <c r="B2150" s="517">
        <v>42993</v>
      </c>
      <c r="C2150" s="119">
        <v>10085.4</v>
      </c>
    </row>
    <row r="2151" spans="2:3" x14ac:dyDescent="0.35">
      <c r="B2151" s="517">
        <v>42992</v>
      </c>
      <c r="C2151" s="119">
        <v>10086.6</v>
      </c>
    </row>
    <row r="2152" spans="2:3" x14ac:dyDescent="0.35">
      <c r="B2152" s="517">
        <v>42991</v>
      </c>
      <c r="C2152" s="119">
        <v>10079.299999999999</v>
      </c>
    </row>
    <row r="2153" spans="2:3" x14ac:dyDescent="0.35">
      <c r="B2153" s="517">
        <v>42990</v>
      </c>
      <c r="C2153" s="119">
        <v>10093.049999999999</v>
      </c>
    </row>
    <row r="2154" spans="2:3" x14ac:dyDescent="0.35">
      <c r="B2154" s="517">
        <v>42989</v>
      </c>
      <c r="C2154" s="119">
        <v>10006.049999999999</v>
      </c>
    </row>
    <row r="2155" spans="2:3" x14ac:dyDescent="0.35">
      <c r="B2155" s="517">
        <v>42986</v>
      </c>
      <c r="C2155" s="119">
        <v>9934.7999999999993</v>
      </c>
    </row>
    <row r="2156" spans="2:3" x14ac:dyDescent="0.35">
      <c r="B2156" s="517">
        <v>42985</v>
      </c>
      <c r="C2156" s="119">
        <v>9929.9</v>
      </c>
    </row>
    <row r="2157" spans="2:3" x14ac:dyDescent="0.35">
      <c r="B2157" s="517">
        <v>42984</v>
      </c>
      <c r="C2157" s="119">
        <v>9916.2000000000007</v>
      </c>
    </row>
    <row r="2158" spans="2:3" x14ac:dyDescent="0.35">
      <c r="B2158" s="517">
        <v>42983</v>
      </c>
      <c r="C2158" s="119">
        <v>9952.2000000000007</v>
      </c>
    </row>
    <row r="2159" spans="2:3" x14ac:dyDescent="0.35">
      <c r="B2159" s="517">
        <v>42982</v>
      </c>
      <c r="C2159" s="119">
        <v>9912.85</v>
      </c>
    </row>
    <row r="2160" spans="2:3" x14ac:dyDescent="0.35">
      <c r="B2160" s="517">
        <v>42979</v>
      </c>
      <c r="C2160" s="119">
        <v>9974.4</v>
      </c>
    </row>
    <row r="2161" spans="2:3" x14ac:dyDescent="0.35">
      <c r="B2161" s="517">
        <v>42978</v>
      </c>
      <c r="C2161" s="119">
        <v>9917.9</v>
      </c>
    </row>
    <row r="2162" spans="2:3" x14ac:dyDescent="0.35">
      <c r="B2162" s="517">
        <v>42977</v>
      </c>
      <c r="C2162" s="119">
        <v>9884.4</v>
      </c>
    </row>
    <row r="2163" spans="2:3" x14ac:dyDescent="0.35">
      <c r="B2163" s="517">
        <v>42976</v>
      </c>
      <c r="C2163" s="119">
        <v>9796.0499999999993</v>
      </c>
    </row>
    <row r="2164" spans="2:3" x14ac:dyDescent="0.35">
      <c r="B2164" s="517">
        <v>42975</v>
      </c>
      <c r="C2164" s="119">
        <v>9912.7999999999993</v>
      </c>
    </row>
    <row r="2165" spans="2:3" x14ac:dyDescent="0.35">
      <c r="B2165" s="517">
        <v>42971</v>
      </c>
      <c r="C2165" s="119">
        <v>9857.0499999999993</v>
      </c>
    </row>
    <row r="2166" spans="2:3" x14ac:dyDescent="0.35">
      <c r="B2166" s="517">
        <v>42970</v>
      </c>
      <c r="C2166" s="119">
        <v>9852.5</v>
      </c>
    </row>
    <row r="2167" spans="2:3" x14ac:dyDescent="0.35">
      <c r="B2167" s="517">
        <v>42969</v>
      </c>
      <c r="C2167" s="119">
        <v>9765.5499999999993</v>
      </c>
    </row>
    <row r="2168" spans="2:3" x14ac:dyDescent="0.35">
      <c r="B2168" s="517">
        <v>42968</v>
      </c>
      <c r="C2168" s="119">
        <v>9754.35</v>
      </c>
    </row>
    <row r="2169" spans="2:3" x14ac:dyDescent="0.35">
      <c r="B2169" s="517">
        <v>42965</v>
      </c>
      <c r="C2169" s="119">
        <v>9837.4</v>
      </c>
    </row>
    <row r="2170" spans="2:3" x14ac:dyDescent="0.35">
      <c r="B2170" s="517">
        <v>42964</v>
      </c>
      <c r="C2170" s="119">
        <v>9904.15</v>
      </c>
    </row>
    <row r="2171" spans="2:3" x14ac:dyDescent="0.35">
      <c r="B2171" s="517">
        <v>42963</v>
      </c>
      <c r="C2171" s="119">
        <v>9897.2999999999993</v>
      </c>
    </row>
    <row r="2172" spans="2:3" x14ac:dyDescent="0.35">
      <c r="B2172" s="517">
        <v>42961</v>
      </c>
      <c r="C2172" s="119">
        <v>9794.15</v>
      </c>
    </row>
    <row r="2173" spans="2:3" x14ac:dyDescent="0.35">
      <c r="B2173" s="517">
        <v>42958</v>
      </c>
      <c r="C2173" s="119">
        <v>9710.7999999999993</v>
      </c>
    </row>
    <row r="2174" spans="2:3" x14ac:dyDescent="0.35">
      <c r="B2174" s="517">
        <v>42957</v>
      </c>
      <c r="C2174" s="119">
        <v>9820.25</v>
      </c>
    </row>
    <row r="2175" spans="2:3" x14ac:dyDescent="0.35">
      <c r="B2175" s="517">
        <v>42956</v>
      </c>
      <c r="C2175" s="119">
        <v>9908.0499999999993</v>
      </c>
    </row>
    <row r="2176" spans="2:3" x14ac:dyDescent="0.35">
      <c r="B2176" s="517">
        <v>42955</v>
      </c>
      <c r="C2176" s="119">
        <v>9978.5499999999993</v>
      </c>
    </row>
    <row r="2177" spans="2:3" x14ac:dyDescent="0.35">
      <c r="B2177" s="517">
        <v>42954</v>
      </c>
      <c r="C2177" s="119">
        <v>10057.4</v>
      </c>
    </row>
    <row r="2178" spans="2:3" x14ac:dyDescent="0.35">
      <c r="B2178" s="517">
        <v>42951</v>
      </c>
      <c r="C2178" s="119">
        <v>10066.4</v>
      </c>
    </row>
    <row r="2179" spans="2:3" x14ac:dyDescent="0.35">
      <c r="B2179" s="517">
        <v>42950</v>
      </c>
      <c r="C2179" s="119">
        <v>10013.65</v>
      </c>
    </row>
    <row r="2180" spans="2:3" x14ac:dyDescent="0.35">
      <c r="B2180" s="517">
        <v>42949</v>
      </c>
      <c r="C2180" s="119">
        <v>10081.5</v>
      </c>
    </row>
    <row r="2181" spans="2:3" x14ac:dyDescent="0.35">
      <c r="B2181" s="517">
        <v>42948</v>
      </c>
      <c r="C2181" s="119">
        <v>10114.65</v>
      </c>
    </row>
    <row r="2182" spans="2:3" x14ac:dyDescent="0.35">
      <c r="B2182" s="517">
        <v>42947</v>
      </c>
      <c r="C2182" s="119">
        <v>10077.1</v>
      </c>
    </row>
    <row r="2183" spans="2:3" x14ac:dyDescent="0.35">
      <c r="B2183" s="517">
        <v>42944</v>
      </c>
      <c r="C2183" s="119">
        <v>10014.5</v>
      </c>
    </row>
    <row r="2184" spans="2:3" x14ac:dyDescent="0.35">
      <c r="B2184" s="517">
        <v>42943</v>
      </c>
      <c r="C2184" s="119">
        <v>10020.549999999999</v>
      </c>
    </row>
    <row r="2185" spans="2:3" x14ac:dyDescent="0.35">
      <c r="B2185" s="517">
        <v>42942</v>
      </c>
      <c r="C2185" s="119">
        <v>10020.65</v>
      </c>
    </row>
    <row r="2186" spans="2:3" x14ac:dyDescent="0.35">
      <c r="B2186" s="517">
        <v>42941</v>
      </c>
      <c r="C2186" s="119">
        <v>9964.5499999999993</v>
      </c>
    </row>
    <row r="2187" spans="2:3" x14ac:dyDescent="0.35">
      <c r="B2187" s="517">
        <v>42940</v>
      </c>
      <c r="C2187" s="119">
        <v>9966.4</v>
      </c>
    </row>
    <row r="2188" spans="2:3" x14ac:dyDescent="0.35">
      <c r="B2188" s="517">
        <v>42937</v>
      </c>
      <c r="C2188" s="119">
        <v>9915.25</v>
      </c>
    </row>
    <row r="2189" spans="2:3" x14ac:dyDescent="0.35">
      <c r="B2189" s="517">
        <v>42936</v>
      </c>
      <c r="C2189" s="119">
        <v>9873.2999999999993</v>
      </c>
    </row>
    <row r="2190" spans="2:3" x14ac:dyDescent="0.35">
      <c r="B2190" s="517">
        <v>42935</v>
      </c>
      <c r="C2190" s="119">
        <v>9899.6</v>
      </c>
    </row>
    <row r="2191" spans="2:3" x14ac:dyDescent="0.35">
      <c r="B2191" s="517">
        <v>42934</v>
      </c>
      <c r="C2191" s="119">
        <v>9827.15</v>
      </c>
    </row>
    <row r="2192" spans="2:3" x14ac:dyDescent="0.35">
      <c r="B2192" s="517">
        <v>42933</v>
      </c>
      <c r="C2192" s="119">
        <v>9915.9500000000007</v>
      </c>
    </row>
    <row r="2193" spans="2:3" x14ac:dyDescent="0.35">
      <c r="B2193" s="517">
        <v>42930</v>
      </c>
      <c r="C2193" s="119">
        <v>9886.35</v>
      </c>
    </row>
    <row r="2194" spans="2:3" x14ac:dyDescent="0.35">
      <c r="B2194" s="517">
        <v>42929</v>
      </c>
      <c r="C2194" s="119">
        <v>9891.7000000000007</v>
      </c>
    </row>
    <row r="2195" spans="2:3" x14ac:dyDescent="0.35">
      <c r="B2195" s="517">
        <v>42928</v>
      </c>
      <c r="C2195" s="119">
        <v>9816.1</v>
      </c>
    </row>
    <row r="2196" spans="2:3" x14ac:dyDescent="0.35">
      <c r="B2196" s="517">
        <v>42927</v>
      </c>
      <c r="C2196" s="119">
        <v>9786.0499999999993</v>
      </c>
    </row>
    <row r="2197" spans="2:3" x14ac:dyDescent="0.35">
      <c r="B2197" s="517">
        <v>42926</v>
      </c>
      <c r="C2197" s="119">
        <v>9771.0499999999993</v>
      </c>
    </row>
    <row r="2198" spans="2:3" x14ac:dyDescent="0.35">
      <c r="B2198" s="517">
        <v>42923</v>
      </c>
      <c r="C2198" s="119">
        <v>9665.7999999999993</v>
      </c>
    </row>
    <row r="2199" spans="2:3" x14ac:dyDescent="0.35">
      <c r="B2199" s="517">
        <v>42922</v>
      </c>
      <c r="C2199" s="119">
        <v>9674.5499999999993</v>
      </c>
    </row>
    <row r="2200" spans="2:3" x14ac:dyDescent="0.35">
      <c r="B2200" s="517">
        <v>42921</v>
      </c>
      <c r="C2200" s="119">
        <v>9637.6</v>
      </c>
    </row>
    <row r="2201" spans="2:3" x14ac:dyDescent="0.35">
      <c r="B2201" s="517">
        <v>42920</v>
      </c>
      <c r="C2201" s="119">
        <v>9613.2999999999993</v>
      </c>
    </row>
    <row r="2202" spans="2:3" x14ac:dyDescent="0.35">
      <c r="B2202" s="517">
        <v>42919</v>
      </c>
      <c r="C2202" s="119">
        <v>9615</v>
      </c>
    </row>
    <row r="2203" spans="2:3" x14ac:dyDescent="0.35">
      <c r="B2203" s="517">
        <v>42916</v>
      </c>
      <c r="C2203" s="119">
        <v>9520.9</v>
      </c>
    </row>
    <row r="2204" spans="2:3" x14ac:dyDescent="0.35">
      <c r="B2204" s="517">
        <v>42915</v>
      </c>
      <c r="C2204" s="119">
        <v>9504.1</v>
      </c>
    </row>
    <row r="2205" spans="2:3" x14ac:dyDescent="0.35">
      <c r="B2205" s="517">
        <v>42914</v>
      </c>
      <c r="C2205" s="119">
        <v>9491.25</v>
      </c>
    </row>
    <row r="2206" spans="2:3" x14ac:dyDescent="0.35">
      <c r="B2206" s="517">
        <v>42913</v>
      </c>
      <c r="C2206" s="119">
        <v>9511.4</v>
      </c>
    </row>
    <row r="2207" spans="2:3" x14ac:dyDescent="0.35">
      <c r="B2207" s="517">
        <v>42909</v>
      </c>
      <c r="C2207" s="119">
        <v>9574.9500000000007</v>
      </c>
    </row>
    <row r="2208" spans="2:3" x14ac:dyDescent="0.35">
      <c r="B2208" s="517">
        <v>42908</v>
      </c>
      <c r="C2208" s="119">
        <v>9630</v>
      </c>
    </row>
    <row r="2209" spans="2:3" x14ac:dyDescent="0.35">
      <c r="B2209" s="517">
        <v>42907</v>
      </c>
      <c r="C2209" s="119">
        <v>9633.6</v>
      </c>
    </row>
    <row r="2210" spans="2:3" x14ac:dyDescent="0.35">
      <c r="B2210" s="517">
        <v>42906</v>
      </c>
      <c r="C2210" s="119">
        <v>9653.5</v>
      </c>
    </row>
    <row r="2211" spans="2:3" x14ac:dyDescent="0.35">
      <c r="B2211" s="517">
        <v>42905</v>
      </c>
      <c r="C2211" s="119">
        <v>9657.5499999999993</v>
      </c>
    </row>
    <row r="2212" spans="2:3" x14ac:dyDescent="0.35">
      <c r="B2212" s="517">
        <v>42902</v>
      </c>
      <c r="C2212" s="119">
        <v>9588.0499999999993</v>
      </c>
    </row>
    <row r="2213" spans="2:3" x14ac:dyDescent="0.35">
      <c r="B2213" s="517">
        <v>42901</v>
      </c>
      <c r="C2213" s="119">
        <v>9578.0499999999993</v>
      </c>
    </row>
    <row r="2214" spans="2:3" x14ac:dyDescent="0.35">
      <c r="B2214" s="517">
        <v>42900</v>
      </c>
      <c r="C2214" s="119">
        <v>9618.15</v>
      </c>
    </row>
    <row r="2215" spans="2:3" x14ac:dyDescent="0.35">
      <c r="B2215" s="517">
        <v>42899</v>
      </c>
      <c r="C2215" s="119">
        <v>9606.9</v>
      </c>
    </row>
    <row r="2216" spans="2:3" x14ac:dyDescent="0.35">
      <c r="B2216" s="517">
        <v>42898</v>
      </c>
      <c r="C2216" s="119">
        <v>9616.4</v>
      </c>
    </row>
    <row r="2217" spans="2:3" x14ac:dyDescent="0.35">
      <c r="B2217" s="517">
        <v>42895</v>
      </c>
      <c r="C2217" s="119">
        <v>9668.25</v>
      </c>
    </row>
    <row r="2218" spans="2:3" x14ac:dyDescent="0.35">
      <c r="B2218" s="517">
        <v>42894</v>
      </c>
      <c r="C2218" s="119">
        <v>9647.25</v>
      </c>
    </row>
    <row r="2219" spans="2:3" x14ac:dyDescent="0.35">
      <c r="B2219" s="517">
        <v>42893</v>
      </c>
      <c r="C2219" s="119">
        <v>9663.9</v>
      </c>
    </row>
    <row r="2220" spans="2:3" x14ac:dyDescent="0.35">
      <c r="B2220" s="517">
        <v>42892</v>
      </c>
      <c r="C2220" s="119">
        <v>9637.15</v>
      </c>
    </row>
    <row r="2221" spans="2:3" x14ac:dyDescent="0.35">
      <c r="B2221" s="517">
        <v>42891</v>
      </c>
      <c r="C2221" s="119">
        <v>9675.1</v>
      </c>
    </row>
    <row r="2222" spans="2:3" x14ac:dyDescent="0.35">
      <c r="B2222" s="517">
        <v>42888</v>
      </c>
      <c r="C2222" s="119">
        <v>9653.5</v>
      </c>
    </row>
    <row r="2223" spans="2:3" x14ac:dyDescent="0.35">
      <c r="B2223" s="517">
        <v>42887</v>
      </c>
      <c r="C2223" s="119">
        <v>9616.1</v>
      </c>
    </row>
    <row r="2224" spans="2:3" x14ac:dyDescent="0.35">
      <c r="B2224" s="517">
        <v>42886</v>
      </c>
      <c r="C2224" s="119">
        <v>9621.25</v>
      </c>
    </row>
    <row r="2225" spans="2:3" x14ac:dyDescent="0.35">
      <c r="B2225" s="517">
        <v>42885</v>
      </c>
      <c r="C2225" s="119">
        <v>9624.5499999999993</v>
      </c>
    </row>
    <row r="2226" spans="2:3" x14ac:dyDescent="0.35">
      <c r="B2226" s="517">
        <v>42884</v>
      </c>
      <c r="C2226" s="119">
        <v>9604.9</v>
      </c>
    </row>
    <row r="2227" spans="2:3" x14ac:dyDescent="0.35">
      <c r="B2227" s="517">
        <v>42881</v>
      </c>
      <c r="C2227" s="119">
        <v>9595.1</v>
      </c>
    </row>
    <row r="2228" spans="2:3" x14ac:dyDescent="0.35">
      <c r="B2228" s="517">
        <v>42880</v>
      </c>
      <c r="C2228" s="119">
        <v>9509.75</v>
      </c>
    </row>
    <row r="2229" spans="2:3" x14ac:dyDescent="0.35">
      <c r="B2229" s="517">
        <v>42879</v>
      </c>
      <c r="C2229" s="119">
        <v>9360.5499999999993</v>
      </c>
    </row>
    <row r="2230" spans="2:3" x14ac:dyDescent="0.35">
      <c r="B2230" s="517">
        <v>42878</v>
      </c>
      <c r="C2230" s="119">
        <v>9386.15</v>
      </c>
    </row>
    <row r="2231" spans="2:3" x14ac:dyDescent="0.35">
      <c r="B2231" s="517">
        <v>42877</v>
      </c>
      <c r="C2231" s="119">
        <v>9438.25</v>
      </c>
    </row>
    <row r="2232" spans="2:3" x14ac:dyDescent="0.35">
      <c r="B2232" s="517">
        <v>42874</v>
      </c>
      <c r="C2232" s="119">
        <v>9427.9</v>
      </c>
    </row>
    <row r="2233" spans="2:3" x14ac:dyDescent="0.35">
      <c r="B2233" s="517">
        <v>42873</v>
      </c>
      <c r="C2233" s="119">
        <v>9429.4500000000007</v>
      </c>
    </row>
    <row r="2234" spans="2:3" x14ac:dyDescent="0.35">
      <c r="B2234" s="517">
        <v>42872</v>
      </c>
      <c r="C2234" s="119">
        <v>9525.75</v>
      </c>
    </row>
    <row r="2235" spans="2:3" x14ac:dyDescent="0.35">
      <c r="B2235" s="517">
        <v>42871</v>
      </c>
      <c r="C2235" s="119">
        <v>9512.25</v>
      </c>
    </row>
    <row r="2236" spans="2:3" x14ac:dyDescent="0.35">
      <c r="B2236" s="517">
        <v>42870</v>
      </c>
      <c r="C2236" s="119">
        <v>9445.4</v>
      </c>
    </row>
    <row r="2237" spans="2:3" x14ac:dyDescent="0.35">
      <c r="B2237" s="517">
        <v>42867</v>
      </c>
      <c r="C2237" s="119">
        <v>9400.9</v>
      </c>
    </row>
    <row r="2238" spans="2:3" x14ac:dyDescent="0.35">
      <c r="B2238" s="517">
        <v>42866</v>
      </c>
      <c r="C2238" s="119">
        <v>9422.4</v>
      </c>
    </row>
    <row r="2239" spans="2:3" x14ac:dyDescent="0.35">
      <c r="B2239" s="517">
        <v>42865</v>
      </c>
      <c r="C2239" s="119">
        <v>9407.2999999999993</v>
      </c>
    </row>
    <row r="2240" spans="2:3" x14ac:dyDescent="0.35">
      <c r="B2240" s="517">
        <v>42864</v>
      </c>
      <c r="C2240" s="119">
        <v>9316.85</v>
      </c>
    </row>
    <row r="2241" spans="2:3" x14ac:dyDescent="0.35">
      <c r="B2241" s="517">
        <v>42863</v>
      </c>
      <c r="C2241" s="119">
        <v>9314.0499999999993</v>
      </c>
    </row>
    <row r="2242" spans="2:3" x14ac:dyDescent="0.35">
      <c r="B2242" s="517">
        <v>42860</v>
      </c>
      <c r="C2242" s="119">
        <v>9285.2999999999993</v>
      </c>
    </row>
    <row r="2243" spans="2:3" x14ac:dyDescent="0.35">
      <c r="B2243" s="517">
        <v>42859</v>
      </c>
      <c r="C2243" s="119">
        <v>9359.9</v>
      </c>
    </row>
    <row r="2244" spans="2:3" x14ac:dyDescent="0.35">
      <c r="B2244" s="517">
        <v>42858</v>
      </c>
      <c r="C2244" s="119">
        <v>9311.9500000000007</v>
      </c>
    </row>
    <row r="2245" spans="2:3" x14ac:dyDescent="0.35">
      <c r="B2245" s="517">
        <v>42857</v>
      </c>
      <c r="C2245" s="119">
        <v>9313.7999999999993</v>
      </c>
    </row>
    <row r="2246" spans="2:3" x14ac:dyDescent="0.35">
      <c r="B2246" s="517">
        <v>42853</v>
      </c>
      <c r="C2246" s="119">
        <v>9304.0499999999993</v>
      </c>
    </row>
    <row r="2247" spans="2:3" x14ac:dyDescent="0.35">
      <c r="B2247" s="517">
        <v>42852</v>
      </c>
      <c r="C2247" s="119">
        <v>9342.15</v>
      </c>
    </row>
    <row r="2248" spans="2:3" x14ac:dyDescent="0.35">
      <c r="B2248" s="517">
        <v>42851</v>
      </c>
      <c r="C2248" s="119">
        <v>9351.85</v>
      </c>
    </row>
    <row r="2249" spans="2:3" x14ac:dyDescent="0.35">
      <c r="B2249" s="517">
        <v>42850</v>
      </c>
      <c r="C2249" s="119">
        <v>9306.6</v>
      </c>
    </row>
    <row r="2250" spans="2:3" x14ac:dyDescent="0.35">
      <c r="B2250" s="517">
        <v>42849</v>
      </c>
      <c r="C2250" s="119">
        <v>9217.9500000000007</v>
      </c>
    </row>
    <row r="2251" spans="2:3" x14ac:dyDescent="0.35">
      <c r="B2251" s="517">
        <v>42846</v>
      </c>
      <c r="C2251" s="119">
        <v>9119.4</v>
      </c>
    </row>
    <row r="2252" spans="2:3" x14ac:dyDescent="0.35">
      <c r="B2252" s="517">
        <v>42845</v>
      </c>
      <c r="C2252" s="119">
        <v>9136.4</v>
      </c>
    </row>
    <row r="2253" spans="2:3" x14ac:dyDescent="0.35">
      <c r="B2253" s="517">
        <v>42844</v>
      </c>
      <c r="C2253" s="119">
        <v>9103.5</v>
      </c>
    </row>
    <row r="2254" spans="2:3" x14ac:dyDescent="0.35">
      <c r="B2254" s="517">
        <v>42843</v>
      </c>
      <c r="C2254" s="119">
        <v>9105.15</v>
      </c>
    </row>
    <row r="2255" spans="2:3" x14ac:dyDescent="0.35">
      <c r="B2255" s="517">
        <v>42842</v>
      </c>
      <c r="C2255" s="119">
        <v>9139.2999999999993</v>
      </c>
    </row>
    <row r="2256" spans="2:3" x14ac:dyDescent="0.35">
      <c r="B2256" s="517">
        <v>42838</v>
      </c>
      <c r="C2256" s="119">
        <v>9150.7999999999993</v>
      </c>
    </row>
    <row r="2257" spans="2:3" x14ac:dyDescent="0.35">
      <c r="B2257" s="517">
        <v>42837</v>
      </c>
      <c r="C2257" s="119">
        <v>9203.4500000000007</v>
      </c>
    </row>
    <row r="2258" spans="2:3" x14ac:dyDescent="0.35">
      <c r="B2258" s="517">
        <v>42836</v>
      </c>
      <c r="C2258" s="119">
        <v>9237</v>
      </c>
    </row>
    <row r="2259" spans="2:3" x14ac:dyDescent="0.35">
      <c r="B2259" s="517">
        <v>42835</v>
      </c>
      <c r="C2259" s="119">
        <v>9181.4500000000007</v>
      </c>
    </row>
    <row r="2260" spans="2:3" x14ac:dyDescent="0.35">
      <c r="B2260" s="517">
        <v>42832</v>
      </c>
      <c r="C2260" s="119">
        <v>9198.2999999999993</v>
      </c>
    </row>
    <row r="2261" spans="2:3" x14ac:dyDescent="0.35">
      <c r="B2261" s="517">
        <v>42831</v>
      </c>
      <c r="C2261" s="119">
        <v>9261.9500000000007</v>
      </c>
    </row>
    <row r="2262" spans="2:3" x14ac:dyDescent="0.35">
      <c r="B2262" s="517">
        <v>42830</v>
      </c>
      <c r="C2262" s="119">
        <v>9265.15</v>
      </c>
    </row>
    <row r="2263" spans="2:3" x14ac:dyDescent="0.35">
      <c r="B2263" s="517">
        <v>42828</v>
      </c>
      <c r="C2263" s="119">
        <v>9237.85</v>
      </c>
    </row>
    <row r="2264" spans="2:3" x14ac:dyDescent="0.35">
      <c r="B2264" s="517">
        <v>42825</v>
      </c>
      <c r="C2264" s="119">
        <v>9173.75</v>
      </c>
    </row>
    <row r="2265" spans="2:3" x14ac:dyDescent="0.35">
      <c r="B2265" s="517">
        <v>42824</v>
      </c>
      <c r="C2265" s="119">
        <v>9173.75</v>
      </c>
    </row>
    <row r="2266" spans="2:3" x14ac:dyDescent="0.35">
      <c r="B2266" s="517">
        <v>42823</v>
      </c>
      <c r="C2266" s="119">
        <v>9143.7999999999993</v>
      </c>
    </row>
    <row r="2267" spans="2:3" x14ac:dyDescent="0.35">
      <c r="B2267" s="517">
        <v>42822</v>
      </c>
      <c r="C2267" s="119">
        <v>9100.7999999999993</v>
      </c>
    </row>
    <row r="2268" spans="2:3" x14ac:dyDescent="0.35">
      <c r="B2268" s="517">
        <v>42821</v>
      </c>
      <c r="C2268" s="119">
        <v>9045.2000000000007</v>
      </c>
    </row>
    <row r="2269" spans="2:3" x14ac:dyDescent="0.35">
      <c r="B2269" s="517">
        <v>42818</v>
      </c>
      <c r="C2269" s="119">
        <v>9108</v>
      </c>
    </row>
    <row r="2270" spans="2:3" x14ac:dyDescent="0.35">
      <c r="B2270" s="517">
        <v>42817</v>
      </c>
      <c r="C2270" s="119">
        <v>9086.2999999999993</v>
      </c>
    </row>
    <row r="2271" spans="2:3" x14ac:dyDescent="0.35">
      <c r="B2271" s="517">
        <v>42816</v>
      </c>
      <c r="C2271" s="119">
        <v>9030.4500000000007</v>
      </c>
    </row>
    <row r="2272" spans="2:3" x14ac:dyDescent="0.35">
      <c r="B2272" s="517">
        <v>42815</v>
      </c>
      <c r="C2272" s="119">
        <v>9121.5</v>
      </c>
    </row>
    <row r="2273" spans="2:3" x14ac:dyDescent="0.35">
      <c r="B2273" s="517">
        <v>42814</v>
      </c>
      <c r="C2273" s="119">
        <v>9126.85</v>
      </c>
    </row>
    <row r="2274" spans="2:3" x14ac:dyDescent="0.35">
      <c r="B2274" s="517">
        <v>42811</v>
      </c>
      <c r="C2274" s="119">
        <v>9160.0499999999993</v>
      </c>
    </row>
    <row r="2275" spans="2:3" x14ac:dyDescent="0.35">
      <c r="B2275" s="517">
        <v>42810</v>
      </c>
      <c r="C2275" s="119">
        <v>9153.7000000000007</v>
      </c>
    </row>
    <row r="2276" spans="2:3" x14ac:dyDescent="0.35">
      <c r="B2276" s="517">
        <v>42809</v>
      </c>
      <c r="C2276" s="119">
        <v>9084.7999999999993</v>
      </c>
    </row>
    <row r="2277" spans="2:3" x14ac:dyDescent="0.35">
      <c r="B2277" s="517">
        <v>42808</v>
      </c>
      <c r="C2277" s="119">
        <v>9087</v>
      </c>
    </row>
    <row r="2278" spans="2:3" x14ac:dyDescent="0.35">
      <c r="B2278" s="517">
        <v>42804</v>
      </c>
      <c r="C2278" s="119">
        <v>8934.5499999999993</v>
      </c>
    </row>
    <row r="2279" spans="2:3" x14ac:dyDescent="0.35">
      <c r="B2279" s="517">
        <v>42803</v>
      </c>
      <c r="C2279" s="119">
        <v>8927</v>
      </c>
    </row>
    <row r="2280" spans="2:3" x14ac:dyDescent="0.35">
      <c r="B2280" s="517">
        <v>42802</v>
      </c>
      <c r="C2280" s="119">
        <v>8924.2999999999993</v>
      </c>
    </row>
    <row r="2281" spans="2:3" x14ac:dyDescent="0.35">
      <c r="B2281" s="517">
        <v>42801</v>
      </c>
      <c r="C2281" s="119">
        <v>8946.9</v>
      </c>
    </row>
    <row r="2282" spans="2:3" x14ac:dyDescent="0.35">
      <c r="B2282" s="517">
        <v>42800</v>
      </c>
      <c r="C2282" s="119">
        <v>8963.4500000000007</v>
      </c>
    </row>
    <row r="2283" spans="2:3" x14ac:dyDescent="0.35">
      <c r="B2283" s="517">
        <v>42797</v>
      </c>
      <c r="C2283" s="119">
        <v>8897.5499999999993</v>
      </c>
    </row>
    <row r="2284" spans="2:3" x14ac:dyDescent="0.35">
      <c r="B2284" s="517">
        <v>42796</v>
      </c>
      <c r="C2284" s="119">
        <v>8899.75</v>
      </c>
    </row>
    <row r="2285" spans="2:3" x14ac:dyDescent="0.35">
      <c r="B2285" s="517">
        <v>42795</v>
      </c>
      <c r="C2285" s="119">
        <v>8945.7999999999993</v>
      </c>
    </row>
    <row r="2286" spans="2:3" x14ac:dyDescent="0.35">
      <c r="B2286" s="517">
        <v>42794</v>
      </c>
      <c r="C2286" s="119">
        <v>8879.6</v>
      </c>
    </row>
    <row r="2287" spans="2:3" x14ac:dyDescent="0.35">
      <c r="B2287" s="517">
        <v>42793</v>
      </c>
      <c r="C2287" s="119">
        <v>8896.7000000000007</v>
      </c>
    </row>
    <row r="2288" spans="2:3" x14ac:dyDescent="0.35">
      <c r="B2288" s="517">
        <v>42789</v>
      </c>
      <c r="C2288" s="119">
        <v>8939.5</v>
      </c>
    </row>
    <row r="2289" spans="2:3" x14ac:dyDescent="0.35">
      <c r="B2289" s="517">
        <v>42788</v>
      </c>
      <c r="C2289" s="119">
        <v>8926.9</v>
      </c>
    </row>
    <row r="2290" spans="2:3" x14ac:dyDescent="0.35">
      <c r="B2290" s="517">
        <v>42787</v>
      </c>
      <c r="C2290" s="119">
        <v>8907.85</v>
      </c>
    </row>
    <row r="2291" spans="2:3" x14ac:dyDescent="0.35">
      <c r="B2291" s="517">
        <v>42786</v>
      </c>
      <c r="C2291" s="119">
        <v>8879.2000000000007</v>
      </c>
    </row>
    <row r="2292" spans="2:3" x14ac:dyDescent="0.35">
      <c r="B2292" s="517">
        <v>42783</v>
      </c>
      <c r="C2292" s="119">
        <v>8821.7000000000007</v>
      </c>
    </row>
    <row r="2293" spans="2:3" x14ac:dyDescent="0.35">
      <c r="B2293" s="517">
        <v>42782</v>
      </c>
      <c r="C2293" s="119">
        <v>8778</v>
      </c>
    </row>
    <row r="2294" spans="2:3" x14ac:dyDescent="0.35">
      <c r="B2294" s="517">
        <v>42781</v>
      </c>
      <c r="C2294" s="119">
        <v>8724.7000000000007</v>
      </c>
    </row>
    <row r="2295" spans="2:3" x14ac:dyDescent="0.35">
      <c r="B2295" s="517">
        <v>42780</v>
      </c>
      <c r="C2295" s="119">
        <v>8792.2999999999993</v>
      </c>
    </row>
    <row r="2296" spans="2:3" x14ac:dyDescent="0.35">
      <c r="B2296" s="517">
        <v>42779</v>
      </c>
      <c r="C2296" s="119">
        <v>8805.0499999999993</v>
      </c>
    </row>
    <row r="2297" spans="2:3" x14ac:dyDescent="0.35">
      <c r="B2297" s="517">
        <v>42776</v>
      </c>
      <c r="C2297" s="119">
        <v>8793.5499999999993</v>
      </c>
    </row>
    <row r="2298" spans="2:3" x14ac:dyDescent="0.35">
      <c r="B2298" s="517">
        <v>42775</v>
      </c>
      <c r="C2298" s="119">
        <v>8778.4</v>
      </c>
    </row>
    <row r="2299" spans="2:3" x14ac:dyDescent="0.35">
      <c r="B2299" s="517">
        <v>42774</v>
      </c>
      <c r="C2299" s="119">
        <v>8769.0499999999993</v>
      </c>
    </row>
    <row r="2300" spans="2:3" x14ac:dyDescent="0.35">
      <c r="B2300" s="517">
        <v>42773</v>
      </c>
      <c r="C2300" s="119">
        <v>8768.2999999999993</v>
      </c>
    </row>
    <row r="2301" spans="2:3" x14ac:dyDescent="0.35">
      <c r="B2301" s="517">
        <v>42772</v>
      </c>
      <c r="C2301" s="119">
        <v>8801.0499999999993</v>
      </c>
    </row>
    <row r="2302" spans="2:3" x14ac:dyDescent="0.35">
      <c r="B2302" s="517">
        <v>42769</v>
      </c>
      <c r="C2302" s="119">
        <v>8740.9500000000007</v>
      </c>
    </row>
    <row r="2303" spans="2:3" x14ac:dyDescent="0.35">
      <c r="B2303" s="517">
        <v>42768</v>
      </c>
      <c r="C2303" s="119">
        <v>8734.25</v>
      </c>
    </row>
    <row r="2304" spans="2:3" x14ac:dyDescent="0.35">
      <c r="B2304" s="517">
        <v>42767</v>
      </c>
      <c r="C2304" s="119">
        <v>8716.4</v>
      </c>
    </row>
    <row r="2305" spans="2:3" x14ac:dyDescent="0.35">
      <c r="B2305" s="517">
        <v>42766</v>
      </c>
      <c r="C2305" s="119">
        <v>8561.2999999999993</v>
      </c>
    </row>
    <row r="2306" spans="2:3" x14ac:dyDescent="0.35">
      <c r="B2306" s="517">
        <v>42765</v>
      </c>
      <c r="C2306" s="119">
        <v>8632.75</v>
      </c>
    </row>
    <row r="2307" spans="2:3" x14ac:dyDescent="0.35">
      <c r="B2307" s="517">
        <v>42762</v>
      </c>
      <c r="C2307" s="119">
        <v>8641.25</v>
      </c>
    </row>
    <row r="2308" spans="2:3" x14ac:dyDescent="0.35">
      <c r="B2308" s="517">
        <v>42760</v>
      </c>
      <c r="C2308" s="119">
        <v>8602.75</v>
      </c>
    </row>
    <row r="2309" spans="2:3" x14ac:dyDescent="0.35">
      <c r="B2309" s="517">
        <v>42759</v>
      </c>
      <c r="C2309" s="119">
        <v>8475.7999999999993</v>
      </c>
    </row>
    <row r="2310" spans="2:3" x14ac:dyDescent="0.35">
      <c r="B2310" s="517">
        <v>42758</v>
      </c>
      <c r="C2310" s="119">
        <v>8391.5</v>
      </c>
    </row>
    <row r="2311" spans="2:3" x14ac:dyDescent="0.35">
      <c r="B2311" s="517">
        <v>42755</v>
      </c>
      <c r="C2311" s="119">
        <v>8349.35</v>
      </c>
    </row>
    <row r="2312" spans="2:3" x14ac:dyDescent="0.35">
      <c r="B2312" s="517">
        <v>42754</v>
      </c>
      <c r="C2312" s="119">
        <v>8435.1</v>
      </c>
    </row>
    <row r="2313" spans="2:3" x14ac:dyDescent="0.35">
      <c r="B2313" s="517">
        <v>42753</v>
      </c>
      <c r="C2313" s="119">
        <v>8417</v>
      </c>
    </row>
    <row r="2314" spans="2:3" x14ac:dyDescent="0.35">
      <c r="B2314" s="517">
        <v>42752</v>
      </c>
      <c r="C2314" s="119">
        <v>8398</v>
      </c>
    </row>
    <row r="2315" spans="2:3" x14ac:dyDescent="0.35">
      <c r="B2315" s="517">
        <v>42751</v>
      </c>
      <c r="C2315" s="119">
        <v>8412.7999999999993</v>
      </c>
    </row>
    <row r="2316" spans="2:3" x14ac:dyDescent="0.35">
      <c r="B2316" s="517">
        <v>42748</v>
      </c>
      <c r="C2316" s="119">
        <v>8400.35</v>
      </c>
    </row>
    <row r="2317" spans="2:3" x14ac:dyDescent="0.35">
      <c r="B2317" s="517">
        <v>42747</v>
      </c>
      <c r="C2317" s="119">
        <v>8407.2000000000007</v>
      </c>
    </row>
    <row r="2318" spans="2:3" x14ac:dyDescent="0.35">
      <c r="B2318" s="517">
        <v>42746</v>
      </c>
      <c r="C2318" s="119">
        <v>8380.65</v>
      </c>
    </row>
    <row r="2319" spans="2:3" x14ac:dyDescent="0.35">
      <c r="B2319" s="517">
        <v>42745</v>
      </c>
      <c r="C2319" s="119">
        <v>8288.6</v>
      </c>
    </row>
    <row r="2320" spans="2:3" x14ac:dyDescent="0.35">
      <c r="B2320" s="517">
        <v>42744</v>
      </c>
      <c r="C2320" s="119">
        <v>8236.0499999999993</v>
      </c>
    </row>
    <row r="2321" spans="2:3" x14ac:dyDescent="0.35">
      <c r="B2321" s="517">
        <v>42741</v>
      </c>
      <c r="C2321" s="119">
        <v>8243.7999999999993</v>
      </c>
    </row>
    <row r="2322" spans="2:3" x14ac:dyDescent="0.35">
      <c r="B2322" s="517">
        <v>42740</v>
      </c>
      <c r="C2322" s="119">
        <v>8273.7999999999993</v>
      </c>
    </row>
    <row r="2323" spans="2:3" x14ac:dyDescent="0.35">
      <c r="B2323" s="517">
        <v>42739</v>
      </c>
      <c r="C2323" s="119">
        <v>8190.5</v>
      </c>
    </row>
    <row r="2324" spans="2:3" x14ac:dyDescent="0.35">
      <c r="B2324" s="517">
        <v>42738</v>
      </c>
      <c r="C2324" s="119">
        <v>8192.25</v>
      </c>
    </row>
    <row r="2325" spans="2:3" x14ac:dyDescent="0.35">
      <c r="B2325" s="517">
        <v>42737</v>
      </c>
      <c r="C2325" s="119">
        <v>8179.5</v>
      </c>
    </row>
    <row r="2326" spans="2:3" x14ac:dyDescent="0.35">
      <c r="B2326" s="517">
        <v>42734</v>
      </c>
      <c r="C2326" s="119">
        <v>8185.8</v>
      </c>
    </row>
    <row r="2327" spans="2:3" x14ac:dyDescent="0.35">
      <c r="B2327" s="517">
        <v>42733</v>
      </c>
      <c r="C2327" s="119">
        <v>8103.6</v>
      </c>
    </row>
    <row r="2328" spans="2:3" x14ac:dyDescent="0.35">
      <c r="B2328" s="517">
        <v>42732</v>
      </c>
      <c r="C2328" s="119">
        <v>8034.85</v>
      </c>
    </row>
    <row r="2329" spans="2:3" x14ac:dyDescent="0.35">
      <c r="B2329" s="517">
        <v>42731</v>
      </c>
      <c r="C2329" s="119">
        <v>8032.85</v>
      </c>
    </row>
    <row r="2330" spans="2:3" x14ac:dyDescent="0.35">
      <c r="B2330" s="517">
        <v>42730</v>
      </c>
      <c r="C2330" s="119">
        <v>7908.25</v>
      </c>
    </row>
    <row r="2331" spans="2:3" x14ac:dyDescent="0.35">
      <c r="B2331" s="517">
        <v>42727</v>
      </c>
      <c r="C2331" s="119">
        <v>7985.75</v>
      </c>
    </row>
    <row r="2332" spans="2:3" x14ac:dyDescent="0.35">
      <c r="B2332" s="517">
        <v>42726</v>
      </c>
      <c r="C2332" s="119">
        <v>7979.1</v>
      </c>
    </row>
    <row r="2333" spans="2:3" x14ac:dyDescent="0.35">
      <c r="B2333" s="517">
        <v>42725</v>
      </c>
      <c r="C2333" s="119">
        <v>8061.3</v>
      </c>
    </row>
    <row r="2334" spans="2:3" x14ac:dyDescent="0.35">
      <c r="B2334" s="517">
        <v>42724</v>
      </c>
      <c r="C2334" s="119">
        <v>8082.4</v>
      </c>
    </row>
    <row r="2335" spans="2:3" x14ac:dyDescent="0.35">
      <c r="B2335" s="517">
        <v>42723</v>
      </c>
      <c r="C2335" s="119">
        <v>8104.35</v>
      </c>
    </row>
    <row r="2336" spans="2:3" x14ac:dyDescent="0.35">
      <c r="B2336" s="517">
        <v>42720</v>
      </c>
      <c r="C2336" s="119">
        <v>8139.45</v>
      </c>
    </row>
    <row r="2337" spans="2:3" x14ac:dyDescent="0.35">
      <c r="B2337" s="517">
        <v>42719</v>
      </c>
      <c r="C2337" s="119">
        <v>8153.6</v>
      </c>
    </row>
    <row r="2338" spans="2:3" x14ac:dyDescent="0.35">
      <c r="B2338" s="517">
        <v>42718</v>
      </c>
      <c r="C2338" s="119">
        <v>8182.45</v>
      </c>
    </row>
    <row r="2339" spans="2:3" x14ac:dyDescent="0.35">
      <c r="B2339" s="517">
        <v>42717</v>
      </c>
      <c r="C2339" s="119">
        <v>8221.7999999999993</v>
      </c>
    </row>
    <row r="2340" spans="2:3" x14ac:dyDescent="0.35">
      <c r="B2340" s="517">
        <v>42716</v>
      </c>
      <c r="C2340" s="119">
        <v>8170.8</v>
      </c>
    </row>
    <row r="2341" spans="2:3" x14ac:dyDescent="0.35">
      <c r="B2341" s="517">
        <v>42713</v>
      </c>
      <c r="C2341" s="119">
        <v>8261.75</v>
      </c>
    </row>
    <row r="2342" spans="2:3" x14ac:dyDescent="0.35">
      <c r="B2342" s="517">
        <v>42712</v>
      </c>
      <c r="C2342" s="119">
        <v>8246.85</v>
      </c>
    </row>
    <row r="2343" spans="2:3" x14ac:dyDescent="0.35">
      <c r="B2343" s="517">
        <v>42711</v>
      </c>
      <c r="C2343" s="119">
        <v>8102.05</v>
      </c>
    </row>
    <row r="2344" spans="2:3" x14ac:dyDescent="0.35">
      <c r="B2344" s="517">
        <v>42710</v>
      </c>
      <c r="C2344" s="119">
        <v>8143.15</v>
      </c>
    </row>
    <row r="2345" spans="2:3" x14ac:dyDescent="0.35">
      <c r="B2345" s="517">
        <v>42709</v>
      </c>
      <c r="C2345" s="119">
        <v>8128.75</v>
      </c>
    </row>
    <row r="2346" spans="2:3" x14ac:dyDescent="0.35">
      <c r="B2346" s="517">
        <v>42706</v>
      </c>
      <c r="C2346" s="119">
        <v>8086.8</v>
      </c>
    </row>
    <row r="2347" spans="2:3" x14ac:dyDescent="0.35">
      <c r="B2347" s="517">
        <v>42705</v>
      </c>
      <c r="C2347" s="119">
        <v>8192.9</v>
      </c>
    </row>
    <row r="2348" spans="2:3" x14ac:dyDescent="0.35">
      <c r="B2348" s="517">
        <v>42704</v>
      </c>
      <c r="C2348" s="119">
        <v>8224.5</v>
      </c>
    </row>
    <row r="2349" spans="2:3" x14ac:dyDescent="0.35">
      <c r="B2349" s="517">
        <v>42703</v>
      </c>
      <c r="C2349" s="119">
        <v>8142.15</v>
      </c>
    </row>
    <row r="2350" spans="2:3" x14ac:dyDescent="0.35">
      <c r="B2350" s="517">
        <v>42702</v>
      </c>
      <c r="C2350" s="119">
        <v>8126.9</v>
      </c>
    </row>
    <row r="2351" spans="2:3" x14ac:dyDescent="0.35">
      <c r="B2351" s="517">
        <v>42699</v>
      </c>
      <c r="C2351" s="119">
        <v>8114.3</v>
      </c>
    </row>
    <row r="2352" spans="2:3" x14ac:dyDescent="0.35">
      <c r="B2352" s="517">
        <v>42698</v>
      </c>
      <c r="C2352" s="119">
        <v>7965.5</v>
      </c>
    </row>
    <row r="2353" spans="2:3" x14ac:dyDescent="0.35">
      <c r="B2353" s="517">
        <v>42697</v>
      </c>
      <c r="C2353" s="119">
        <v>8033.3</v>
      </c>
    </row>
    <row r="2354" spans="2:3" x14ac:dyDescent="0.35">
      <c r="B2354" s="517">
        <v>42696</v>
      </c>
      <c r="C2354" s="119">
        <v>8002.3</v>
      </c>
    </row>
    <row r="2355" spans="2:3" x14ac:dyDescent="0.35">
      <c r="B2355" s="517">
        <v>42695</v>
      </c>
      <c r="C2355" s="119">
        <v>7929.1</v>
      </c>
    </row>
    <row r="2356" spans="2:3" x14ac:dyDescent="0.35">
      <c r="B2356" s="517">
        <v>42692</v>
      </c>
      <c r="C2356" s="119">
        <v>8074.1</v>
      </c>
    </row>
    <row r="2357" spans="2:3" x14ac:dyDescent="0.35">
      <c r="B2357" s="517">
        <v>42691</v>
      </c>
      <c r="C2357" s="119">
        <v>8079.95</v>
      </c>
    </row>
    <row r="2358" spans="2:3" x14ac:dyDescent="0.35">
      <c r="B2358" s="517">
        <v>42690</v>
      </c>
      <c r="C2358" s="119">
        <v>8111.6</v>
      </c>
    </row>
    <row r="2359" spans="2:3" x14ac:dyDescent="0.35">
      <c r="B2359" s="517">
        <v>42689</v>
      </c>
      <c r="C2359" s="119">
        <v>8108.45</v>
      </c>
    </row>
    <row r="2360" spans="2:3" x14ac:dyDescent="0.35">
      <c r="B2360" s="517">
        <v>42685</v>
      </c>
      <c r="C2360" s="119">
        <v>8296.2999999999993</v>
      </c>
    </row>
    <row r="2361" spans="2:3" x14ac:dyDescent="0.35">
      <c r="B2361" s="517">
        <v>42684</v>
      </c>
      <c r="C2361" s="119">
        <v>8525.75</v>
      </c>
    </row>
    <row r="2362" spans="2:3" x14ac:dyDescent="0.35">
      <c r="B2362" s="517">
        <v>42683</v>
      </c>
      <c r="C2362" s="119">
        <v>8432</v>
      </c>
    </row>
    <row r="2363" spans="2:3" x14ac:dyDescent="0.35">
      <c r="B2363" s="517">
        <v>42682</v>
      </c>
      <c r="C2363" s="119">
        <v>8543.5499999999993</v>
      </c>
    </row>
    <row r="2364" spans="2:3" x14ac:dyDescent="0.35">
      <c r="B2364" s="517">
        <v>42681</v>
      </c>
      <c r="C2364" s="119">
        <v>8497.0499999999993</v>
      </c>
    </row>
    <row r="2365" spans="2:3" x14ac:dyDescent="0.35">
      <c r="B2365" s="517">
        <v>42678</v>
      </c>
      <c r="C2365" s="119">
        <v>8433.75</v>
      </c>
    </row>
    <row r="2366" spans="2:3" x14ac:dyDescent="0.35">
      <c r="B2366" s="517">
        <v>42677</v>
      </c>
      <c r="C2366" s="119">
        <v>8484.9500000000007</v>
      </c>
    </row>
    <row r="2367" spans="2:3" x14ac:dyDescent="0.35">
      <c r="B2367" s="517">
        <v>42676</v>
      </c>
      <c r="C2367" s="119">
        <v>8514</v>
      </c>
    </row>
    <row r="2368" spans="2:3" x14ac:dyDescent="0.35">
      <c r="B2368" s="517">
        <v>42675</v>
      </c>
      <c r="C2368" s="119">
        <v>8626.25</v>
      </c>
    </row>
    <row r="2369" spans="2:3" x14ac:dyDescent="0.35">
      <c r="B2369" s="517">
        <v>42673</v>
      </c>
      <c r="C2369" s="119">
        <v>8625.7000000000007</v>
      </c>
    </row>
    <row r="2370" spans="2:3" x14ac:dyDescent="0.35">
      <c r="B2370" s="517">
        <v>42671</v>
      </c>
      <c r="C2370" s="119">
        <v>8638</v>
      </c>
    </row>
    <row r="2371" spans="2:3" x14ac:dyDescent="0.35">
      <c r="B2371" s="517">
        <v>42670</v>
      </c>
      <c r="C2371" s="119">
        <v>8615.25</v>
      </c>
    </row>
    <row r="2372" spans="2:3" x14ac:dyDescent="0.35">
      <c r="B2372" s="517">
        <v>42669</v>
      </c>
      <c r="C2372" s="119">
        <v>8615.25</v>
      </c>
    </row>
    <row r="2373" spans="2:3" x14ac:dyDescent="0.35">
      <c r="B2373" s="517">
        <v>42668</v>
      </c>
      <c r="C2373" s="119">
        <v>8691.2999999999993</v>
      </c>
    </row>
    <row r="2374" spans="2:3" x14ac:dyDescent="0.35">
      <c r="B2374" s="517">
        <v>42667</v>
      </c>
      <c r="C2374" s="119">
        <v>8708.9500000000007</v>
      </c>
    </row>
    <row r="2375" spans="2:3" x14ac:dyDescent="0.35">
      <c r="B2375" s="517">
        <v>42664</v>
      </c>
      <c r="C2375" s="119">
        <v>8693.0499999999993</v>
      </c>
    </row>
    <row r="2376" spans="2:3" x14ac:dyDescent="0.35">
      <c r="B2376" s="517">
        <v>42663</v>
      </c>
      <c r="C2376" s="119">
        <v>8699.4</v>
      </c>
    </row>
    <row r="2377" spans="2:3" x14ac:dyDescent="0.35">
      <c r="B2377" s="517">
        <v>42662</v>
      </c>
      <c r="C2377" s="119">
        <v>8659.1</v>
      </c>
    </row>
    <row r="2378" spans="2:3" x14ac:dyDescent="0.35">
      <c r="B2378" s="517">
        <v>42661</v>
      </c>
      <c r="C2378" s="119">
        <v>8677.9</v>
      </c>
    </row>
    <row r="2379" spans="2:3" x14ac:dyDescent="0.35">
      <c r="B2379" s="517">
        <v>42660</v>
      </c>
      <c r="C2379" s="119">
        <v>8520.4</v>
      </c>
    </row>
    <row r="2380" spans="2:3" x14ac:dyDescent="0.35">
      <c r="B2380" s="517">
        <v>42657</v>
      </c>
      <c r="C2380" s="119">
        <v>8583.4</v>
      </c>
    </row>
    <row r="2381" spans="2:3" x14ac:dyDescent="0.35">
      <c r="B2381" s="517">
        <v>42656</v>
      </c>
      <c r="C2381" s="119">
        <v>8573.35</v>
      </c>
    </row>
    <row r="2382" spans="2:3" x14ac:dyDescent="0.35">
      <c r="B2382" s="517">
        <v>42653</v>
      </c>
      <c r="C2382" s="119">
        <v>8708.7999999999993</v>
      </c>
    </row>
    <row r="2383" spans="2:3" x14ac:dyDescent="0.35">
      <c r="B2383" s="517">
        <v>42650</v>
      </c>
      <c r="C2383" s="119">
        <v>8697.6</v>
      </c>
    </row>
    <row r="2384" spans="2:3" x14ac:dyDescent="0.35">
      <c r="B2384" s="517">
        <v>42649</v>
      </c>
      <c r="C2384" s="119">
        <v>8709.5499999999993</v>
      </c>
    </row>
    <row r="2385" spans="2:3" x14ac:dyDescent="0.35">
      <c r="B2385" s="517">
        <v>42648</v>
      </c>
      <c r="C2385" s="119">
        <v>8743.9500000000007</v>
      </c>
    </row>
    <row r="2386" spans="2:3" x14ac:dyDescent="0.35">
      <c r="B2386" s="517">
        <v>42647</v>
      </c>
      <c r="C2386" s="119">
        <v>8769.15</v>
      </c>
    </row>
    <row r="2387" spans="2:3" x14ac:dyDescent="0.35">
      <c r="B2387" s="517">
        <v>42646</v>
      </c>
      <c r="C2387" s="119">
        <v>8738.1</v>
      </c>
    </row>
    <row r="2388" spans="2:3" x14ac:dyDescent="0.35">
      <c r="B2388" s="517">
        <v>42643</v>
      </c>
      <c r="C2388" s="119">
        <v>8611.15</v>
      </c>
    </row>
    <row r="2389" spans="2:3" x14ac:dyDescent="0.35">
      <c r="B2389" s="517">
        <v>42642</v>
      </c>
      <c r="C2389" s="119">
        <v>8591.25</v>
      </c>
    </row>
    <row r="2390" spans="2:3" x14ac:dyDescent="0.35">
      <c r="B2390" s="517">
        <v>42641</v>
      </c>
      <c r="C2390" s="119">
        <v>8745.15</v>
      </c>
    </row>
    <row r="2391" spans="2:3" x14ac:dyDescent="0.35">
      <c r="B2391" s="517">
        <v>42640</v>
      </c>
      <c r="C2391" s="119">
        <v>8706.4</v>
      </c>
    </row>
    <row r="2392" spans="2:3" x14ac:dyDescent="0.35">
      <c r="B2392" s="517">
        <v>42639</v>
      </c>
      <c r="C2392" s="119">
        <v>8723.0499999999993</v>
      </c>
    </row>
    <row r="2393" spans="2:3" x14ac:dyDescent="0.35">
      <c r="B2393" s="517">
        <v>42636</v>
      </c>
      <c r="C2393" s="119">
        <v>8831.5499999999993</v>
      </c>
    </row>
    <row r="2394" spans="2:3" x14ac:dyDescent="0.35">
      <c r="B2394" s="517">
        <v>42635</v>
      </c>
      <c r="C2394" s="119">
        <v>8867.4500000000007</v>
      </c>
    </row>
    <row r="2395" spans="2:3" x14ac:dyDescent="0.35">
      <c r="B2395" s="517">
        <v>42634</v>
      </c>
      <c r="C2395" s="119">
        <v>8777.15</v>
      </c>
    </row>
    <row r="2396" spans="2:3" x14ac:dyDescent="0.35">
      <c r="B2396" s="517">
        <v>42633</v>
      </c>
      <c r="C2396" s="119">
        <v>8775.9</v>
      </c>
    </row>
    <row r="2397" spans="2:3" x14ac:dyDescent="0.35">
      <c r="B2397" s="517">
        <v>42632</v>
      </c>
      <c r="C2397" s="119">
        <v>8808.4</v>
      </c>
    </row>
    <row r="2398" spans="2:3" x14ac:dyDescent="0.35">
      <c r="B2398" s="517">
        <v>42629</v>
      </c>
      <c r="C2398" s="119">
        <v>8779.85</v>
      </c>
    </row>
    <row r="2399" spans="2:3" x14ac:dyDescent="0.35">
      <c r="B2399" s="517">
        <v>42628</v>
      </c>
      <c r="C2399" s="119">
        <v>8742.5499999999993</v>
      </c>
    </row>
    <row r="2400" spans="2:3" x14ac:dyDescent="0.35">
      <c r="B2400" s="517">
        <v>42627</v>
      </c>
      <c r="C2400" s="119">
        <v>8726.6</v>
      </c>
    </row>
    <row r="2401" spans="2:3" x14ac:dyDescent="0.35">
      <c r="B2401" s="517">
        <v>42625</v>
      </c>
      <c r="C2401" s="119">
        <v>8715.6</v>
      </c>
    </row>
    <row r="2402" spans="2:3" x14ac:dyDescent="0.35">
      <c r="B2402" s="517">
        <v>42622</v>
      </c>
      <c r="C2402" s="119">
        <v>8866.7000000000007</v>
      </c>
    </row>
    <row r="2403" spans="2:3" x14ac:dyDescent="0.35">
      <c r="B2403" s="517">
        <v>42621</v>
      </c>
      <c r="C2403" s="119">
        <v>8952.5</v>
      </c>
    </row>
    <row r="2404" spans="2:3" x14ac:dyDescent="0.35">
      <c r="B2404" s="517">
        <v>42620</v>
      </c>
      <c r="C2404" s="119">
        <v>8917.9500000000007</v>
      </c>
    </row>
    <row r="2405" spans="2:3" x14ac:dyDescent="0.35">
      <c r="B2405" s="517">
        <v>42619</v>
      </c>
      <c r="C2405" s="119">
        <v>8943</v>
      </c>
    </row>
    <row r="2406" spans="2:3" x14ac:dyDescent="0.35">
      <c r="B2406" s="517">
        <v>42615</v>
      </c>
      <c r="C2406" s="119">
        <v>8809.65</v>
      </c>
    </row>
    <row r="2407" spans="2:3" x14ac:dyDescent="0.35">
      <c r="B2407" s="517">
        <v>42614</v>
      </c>
      <c r="C2407" s="119">
        <v>8774.65</v>
      </c>
    </row>
    <row r="2408" spans="2:3" x14ac:dyDescent="0.35">
      <c r="B2408" s="517">
        <v>42613</v>
      </c>
      <c r="C2408" s="119">
        <v>8786.2000000000007</v>
      </c>
    </row>
    <row r="2409" spans="2:3" x14ac:dyDescent="0.35">
      <c r="B2409" s="517">
        <v>42612</v>
      </c>
      <c r="C2409" s="119">
        <v>8744.35</v>
      </c>
    </row>
    <row r="2410" spans="2:3" x14ac:dyDescent="0.35">
      <c r="B2410" s="517">
        <v>42611</v>
      </c>
      <c r="C2410" s="119">
        <v>8607.4500000000007</v>
      </c>
    </row>
    <row r="2411" spans="2:3" x14ac:dyDescent="0.35">
      <c r="B2411" s="517">
        <v>42608</v>
      </c>
      <c r="C2411" s="119">
        <v>8572.5499999999993</v>
      </c>
    </row>
    <row r="2412" spans="2:3" x14ac:dyDescent="0.35">
      <c r="B2412" s="517">
        <v>42607</v>
      </c>
      <c r="C2412" s="119">
        <v>8592.2000000000007</v>
      </c>
    </row>
    <row r="2413" spans="2:3" x14ac:dyDescent="0.35">
      <c r="B2413" s="517">
        <v>42606</v>
      </c>
      <c r="C2413" s="119">
        <v>8650.2999999999993</v>
      </c>
    </row>
    <row r="2414" spans="2:3" x14ac:dyDescent="0.35">
      <c r="B2414" s="517">
        <v>42605</v>
      </c>
      <c r="C2414" s="119">
        <v>8632.6</v>
      </c>
    </row>
    <row r="2415" spans="2:3" x14ac:dyDescent="0.35">
      <c r="B2415" s="517">
        <v>42604</v>
      </c>
      <c r="C2415" s="119">
        <v>8629.15</v>
      </c>
    </row>
    <row r="2416" spans="2:3" x14ac:dyDescent="0.35">
      <c r="B2416" s="517">
        <v>42601</v>
      </c>
      <c r="C2416" s="119">
        <v>8666.9</v>
      </c>
    </row>
    <row r="2417" spans="2:3" x14ac:dyDescent="0.35">
      <c r="B2417" s="517">
        <v>42600</v>
      </c>
      <c r="C2417" s="119">
        <v>8673.25</v>
      </c>
    </row>
    <row r="2418" spans="2:3" x14ac:dyDescent="0.35">
      <c r="B2418" s="517">
        <v>42599</v>
      </c>
      <c r="C2418" s="119">
        <v>8624.0499999999993</v>
      </c>
    </row>
    <row r="2419" spans="2:3" x14ac:dyDescent="0.35">
      <c r="B2419" s="517">
        <v>42598</v>
      </c>
      <c r="C2419" s="119">
        <v>8642.5499999999993</v>
      </c>
    </row>
    <row r="2420" spans="2:3" x14ac:dyDescent="0.35">
      <c r="B2420" s="517">
        <v>42594</v>
      </c>
      <c r="C2420" s="119">
        <v>8672.15</v>
      </c>
    </row>
    <row r="2421" spans="2:3" x14ac:dyDescent="0.35">
      <c r="B2421" s="517">
        <v>42593</v>
      </c>
      <c r="C2421" s="119">
        <v>8592.15</v>
      </c>
    </row>
    <row r="2422" spans="2:3" x14ac:dyDescent="0.35">
      <c r="B2422" s="517">
        <v>42592</v>
      </c>
      <c r="C2422" s="119">
        <v>8575.2999999999993</v>
      </c>
    </row>
    <row r="2423" spans="2:3" x14ac:dyDescent="0.35">
      <c r="B2423" s="517">
        <v>42591</v>
      </c>
      <c r="C2423" s="119">
        <v>8678.25</v>
      </c>
    </row>
    <row r="2424" spans="2:3" x14ac:dyDescent="0.35">
      <c r="B2424" s="517">
        <v>42590</v>
      </c>
      <c r="C2424" s="119">
        <v>8711.35</v>
      </c>
    </row>
    <row r="2425" spans="2:3" x14ac:dyDescent="0.35">
      <c r="B2425" s="517">
        <v>42587</v>
      </c>
      <c r="C2425" s="119">
        <v>8683.15</v>
      </c>
    </row>
    <row r="2426" spans="2:3" x14ac:dyDescent="0.35">
      <c r="B2426" s="517">
        <v>42586</v>
      </c>
      <c r="C2426" s="119">
        <v>8551.1</v>
      </c>
    </row>
    <row r="2427" spans="2:3" x14ac:dyDescent="0.35">
      <c r="B2427" s="517">
        <v>42585</v>
      </c>
      <c r="C2427" s="119">
        <v>8544.85</v>
      </c>
    </row>
    <row r="2428" spans="2:3" x14ac:dyDescent="0.35">
      <c r="B2428" s="517">
        <v>42584</v>
      </c>
      <c r="C2428" s="119">
        <v>8622.9</v>
      </c>
    </row>
    <row r="2429" spans="2:3" x14ac:dyDescent="0.35">
      <c r="B2429" s="517">
        <v>42583</v>
      </c>
      <c r="C2429" s="119">
        <v>8636.5499999999993</v>
      </c>
    </row>
    <row r="2430" spans="2:3" x14ac:dyDescent="0.35">
      <c r="B2430" s="517">
        <v>42580</v>
      </c>
      <c r="C2430" s="119">
        <v>8638.5</v>
      </c>
    </row>
    <row r="2431" spans="2:3" x14ac:dyDescent="0.35">
      <c r="B2431" s="517">
        <v>42579</v>
      </c>
      <c r="C2431" s="119">
        <v>8666.2999999999993</v>
      </c>
    </row>
    <row r="2432" spans="2:3" x14ac:dyDescent="0.35">
      <c r="B2432" s="517">
        <v>42578</v>
      </c>
      <c r="C2432" s="119">
        <v>8615.7999999999993</v>
      </c>
    </row>
    <row r="2433" spans="2:3" x14ac:dyDescent="0.35">
      <c r="B2433" s="517">
        <v>42577</v>
      </c>
      <c r="C2433" s="119">
        <v>8590.65</v>
      </c>
    </row>
    <row r="2434" spans="2:3" x14ac:dyDescent="0.35">
      <c r="B2434" s="517">
        <v>42576</v>
      </c>
      <c r="C2434" s="119">
        <v>8635.65</v>
      </c>
    </row>
    <row r="2435" spans="2:3" x14ac:dyDescent="0.35">
      <c r="B2435" s="517">
        <v>42573</v>
      </c>
      <c r="C2435" s="119">
        <v>8541.2000000000007</v>
      </c>
    </row>
    <row r="2436" spans="2:3" x14ac:dyDescent="0.35">
      <c r="B2436" s="517">
        <v>42572</v>
      </c>
      <c r="C2436" s="119">
        <v>8510.1</v>
      </c>
    </row>
    <row r="2437" spans="2:3" x14ac:dyDescent="0.35">
      <c r="B2437" s="517">
        <v>42571</v>
      </c>
      <c r="C2437" s="119">
        <v>8565.85</v>
      </c>
    </row>
    <row r="2438" spans="2:3" x14ac:dyDescent="0.35">
      <c r="B2438" s="517">
        <v>42570</v>
      </c>
      <c r="C2438" s="119">
        <v>8528.5499999999993</v>
      </c>
    </row>
    <row r="2439" spans="2:3" x14ac:dyDescent="0.35">
      <c r="B2439" s="517">
        <v>42569</v>
      </c>
      <c r="C2439" s="119">
        <v>8508.7000000000007</v>
      </c>
    </row>
    <row r="2440" spans="2:3" x14ac:dyDescent="0.35">
      <c r="B2440" s="517">
        <v>42566</v>
      </c>
      <c r="C2440" s="119">
        <v>8541.4</v>
      </c>
    </row>
    <row r="2441" spans="2:3" x14ac:dyDescent="0.35">
      <c r="B2441" s="517">
        <v>42565</v>
      </c>
      <c r="C2441" s="119">
        <v>8565</v>
      </c>
    </row>
    <row r="2442" spans="2:3" x14ac:dyDescent="0.35">
      <c r="B2442" s="517">
        <v>42564</v>
      </c>
      <c r="C2442" s="119">
        <v>8519.5</v>
      </c>
    </row>
    <row r="2443" spans="2:3" x14ac:dyDescent="0.35">
      <c r="B2443" s="517">
        <v>42563</v>
      </c>
      <c r="C2443" s="119">
        <v>8521.0499999999993</v>
      </c>
    </row>
    <row r="2444" spans="2:3" x14ac:dyDescent="0.35">
      <c r="B2444" s="517">
        <v>42562</v>
      </c>
      <c r="C2444" s="119">
        <v>8467.9</v>
      </c>
    </row>
    <row r="2445" spans="2:3" x14ac:dyDescent="0.35">
      <c r="B2445" s="517">
        <v>42559</v>
      </c>
      <c r="C2445" s="119">
        <v>8323.2000000000007</v>
      </c>
    </row>
    <row r="2446" spans="2:3" x14ac:dyDescent="0.35">
      <c r="B2446" s="517">
        <v>42558</v>
      </c>
      <c r="C2446" s="119">
        <v>8337.9</v>
      </c>
    </row>
    <row r="2447" spans="2:3" x14ac:dyDescent="0.35">
      <c r="B2447" s="517">
        <v>42556</v>
      </c>
      <c r="C2447" s="119">
        <v>8335.9500000000007</v>
      </c>
    </row>
    <row r="2448" spans="2:3" x14ac:dyDescent="0.35">
      <c r="B2448" s="517">
        <v>42555</v>
      </c>
      <c r="C2448" s="119">
        <v>8370.7000000000007</v>
      </c>
    </row>
    <row r="2449" spans="2:3" x14ac:dyDescent="0.35">
      <c r="B2449" s="517">
        <v>42552</v>
      </c>
      <c r="C2449" s="119">
        <v>8328.35</v>
      </c>
    </row>
    <row r="2450" spans="2:3" x14ac:dyDescent="0.35">
      <c r="B2450" s="517">
        <v>42551</v>
      </c>
      <c r="C2450" s="119">
        <v>8287.75</v>
      </c>
    </row>
    <row r="2451" spans="2:3" x14ac:dyDescent="0.35">
      <c r="B2451" s="517">
        <v>42550</v>
      </c>
      <c r="C2451" s="119">
        <v>8204</v>
      </c>
    </row>
    <row r="2452" spans="2:3" x14ac:dyDescent="0.35">
      <c r="B2452" s="517">
        <v>42549</v>
      </c>
      <c r="C2452" s="119">
        <v>8127.85</v>
      </c>
    </row>
    <row r="2453" spans="2:3" x14ac:dyDescent="0.35">
      <c r="B2453" s="517">
        <v>42548</v>
      </c>
      <c r="C2453" s="119">
        <v>8094.7</v>
      </c>
    </row>
    <row r="2454" spans="2:3" x14ac:dyDescent="0.35">
      <c r="B2454" s="517">
        <v>42545</v>
      </c>
      <c r="C2454" s="119">
        <v>8088.6</v>
      </c>
    </row>
    <row r="2455" spans="2:3" x14ac:dyDescent="0.35">
      <c r="B2455" s="517">
        <v>42544</v>
      </c>
      <c r="C2455" s="119">
        <v>8270.4500000000007</v>
      </c>
    </row>
    <row r="2456" spans="2:3" x14ac:dyDescent="0.35">
      <c r="B2456" s="517">
        <v>42543</v>
      </c>
      <c r="C2456" s="119">
        <v>8203.7000000000007</v>
      </c>
    </row>
    <row r="2457" spans="2:3" x14ac:dyDescent="0.35">
      <c r="B2457" s="517">
        <v>42542</v>
      </c>
      <c r="C2457" s="119">
        <v>8219.9</v>
      </c>
    </row>
    <row r="2458" spans="2:3" x14ac:dyDescent="0.35">
      <c r="B2458" s="517">
        <v>42541</v>
      </c>
      <c r="C2458" s="119">
        <v>8238.5</v>
      </c>
    </row>
    <row r="2459" spans="2:3" x14ac:dyDescent="0.35">
      <c r="B2459" s="517">
        <v>42538</v>
      </c>
      <c r="C2459" s="119">
        <v>8170.2</v>
      </c>
    </row>
    <row r="2460" spans="2:3" x14ac:dyDescent="0.35">
      <c r="B2460" s="517">
        <v>42537</v>
      </c>
      <c r="C2460" s="119">
        <v>8140.75</v>
      </c>
    </row>
    <row r="2461" spans="2:3" x14ac:dyDescent="0.35">
      <c r="B2461" s="517">
        <v>42536</v>
      </c>
      <c r="C2461" s="119">
        <v>8206.6</v>
      </c>
    </row>
    <row r="2462" spans="2:3" x14ac:dyDescent="0.35">
      <c r="B2462" s="517">
        <v>42535</v>
      </c>
      <c r="C2462" s="119">
        <v>8108.85</v>
      </c>
    </row>
    <row r="2463" spans="2:3" x14ac:dyDescent="0.35">
      <c r="B2463" s="517">
        <v>42534</v>
      </c>
      <c r="C2463" s="119">
        <v>8110.6</v>
      </c>
    </row>
    <row r="2464" spans="2:3" x14ac:dyDescent="0.35">
      <c r="B2464" s="517">
        <v>42531</v>
      </c>
      <c r="C2464" s="119">
        <v>8170.05</v>
      </c>
    </row>
    <row r="2465" spans="2:3" x14ac:dyDescent="0.35">
      <c r="B2465" s="517">
        <v>42530</v>
      </c>
      <c r="C2465" s="119">
        <v>8203.6</v>
      </c>
    </row>
    <row r="2466" spans="2:3" x14ac:dyDescent="0.35">
      <c r="B2466" s="517">
        <v>42529</v>
      </c>
      <c r="C2466" s="119">
        <v>8273.0499999999993</v>
      </c>
    </row>
    <row r="2467" spans="2:3" x14ac:dyDescent="0.35">
      <c r="B2467" s="517">
        <v>42528</v>
      </c>
      <c r="C2467" s="119">
        <v>8266.4500000000007</v>
      </c>
    </row>
    <row r="2468" spans="2:3" x14ac:dyDescent="0.35">
      <c r="B2468" s="517">
        <v>42527</v>
      </c>
      <c r="C2468" s="119">
        <v>8201.0499999999993</v>
      </c>
    </row>
    <row r="2469" spans="2:3" x14ac:dyDescent="0.35">
      <c r="B2469" s="517">
        <v>42524</v>
      </c>
      <c r="C2469" s="119">
        <v>8220.7999999999993</v>
      </c>
    </row>
    <row r="2470" spans="2:3" x14ac:dyDescent="0.35">
      <c r="B2470" s="517">
        <v>42523</v>
      </c>
      <c r="C2470" s="119">
        <v>8218.9500000000007</v>
      </c>
    </row>
    <row r="2471" spans="2:3" x14ac:dyDescent="0.35">
      <c r="B2471" s="517">
        <v>42522</v>
      </c>
      <c r="C2471" s="119">
        <v>8179.95</v>
      </c>
    </row>
    <row r="2472" spans="2:3" x14ac:dyDescent="0.35">
      <c r="B2472" s="517">
        <v>42521</v>
      </c>
      <c r="C2472" s="119">
        <v>8160.1</v>
      </c>
    </row>
    <row r="2473" spans="2:3" x14ac:dyDescent="0.35">
      <c r="B2473" s="517">
        <v>42520</v>
      </c>
      <c r="C2473" s="119">
        <v>8178.5</v>
      </c>
    </row>
    <row r="2474" spans="2:3" x14ac:dyDescent="0.35">
      <c r="B2474" s="517">
        <v>42517</v>
      </c>
      <c r="C2474" s="119">
        <v>8156.65</v>
      </c>
    </row>
    <row r="2475" spans="2:3" x14ac:dyDescent="0.35">
      <c r="B2475" s="517">
        <v>42516</v>
      </c>
      <c r="C2475" s="119">
        <v>8069.65</v>
      </c>
    </row>
    <row r="2476" spans="2:3" x14ac:dyDescent="0.35">
      <c r="B2476" s="517">
        <v>42515</v>
      </c>
      <c r="C2476" s="119">
        <v>7934.9</v>
      </c>
    </row>
    <row r="2477" spans="2:3" x14ac:dyDescent="0.35">
      <c r="B2477" s="517">
        <v>42514</v>
      </c>
      <c r="C2477" s="119">
        <v>7748.85</v>
      </c>
    </row>
    <row r="2478" spans="2:3" x14ac:dyDescent="0.35">
      <c r="B2478" s="517">
        <v>42513</v>
      </c>
      <c r="C2478" s="119">
        <v>7731.05</v>
      </c>
    </row>
    <row r="2479" spans="2:3" x14ac:dyDescent="0.35">
      <c r="B2479" s="517">
        <v>42510</v>
      </c>
      <c r="C2479" s="119">
        <v>7749.7</v>
      </c>
    </row>
    <row r="2480" spans="2:3" x14ac:dyDescent="0.35">
      <c r="B2480" s="517">
        <v>42509</v>
      </c>
      <c r="C2480" s="119">
        <v>7783.4</v>
      </c>
    </row>
    <row r="2481" spans="2:3" x14ac:dyDescent="0.35">
      <c r="B2481" s="517">
        <v>42508</v>
      </c>
      <c r="C2481" s="119">
        <v>7870.15</v>
      </c>
    </row>
    <row r="2482" spans="2:3" x14ac:dyDescent="0.35">
      <c r="B2482" s="517">
        <v>42507</v>
      </c>
      <c r="C2482" s="119">
        <v>7890.75</v>
      </c>
    </row>
    <row r="2483" spans="2:3" x14ac:dyDescent="0.35">
      <c r="B2483" s="517">
        <v>42506</v>
      </c>
      <c r="C2483" s="119">
        <v>7860.75</v>
      </c>
    </row>
    <row r="2484" spans="2:3" x14ac:dyDescent="0.35">
      <c r="B2484" s="517">
        <v>42503</v>
      </c>
      <c r="C2484" s="119">
        <v>7814.9</v>
      </c>
    </row>
    <row r="2485" spans="2:3" x14ac:dyDescent="0.35">
      <c r="B2485" s="517">
        <v>42502</v>
      </c>
      <c r="C2485" s="119">
        <v>7900.4</v>
      </c>
    </row>
    <row r="2486" spans="2:3" x14ac:dyDescent="0.35">
      <c r="B2486" s="517">
        <v>42501</v>
      </c>
      <c r="C2486" s="119">
        <v>7848.85</v>
      </c>
    </row>
    <row r="2487" spans="2:3" x14ac:dyDescent="0.35">
      <c r="B2487" s="517">
        <v>42500</v>
      </c>
      <c r="C2487" s="119">
        <v>7887.8</v>
      </c>
    </row>
    <row r="2488" spans="2:3" x14ac:dyDescent="0.35">
      <c r="B2488" s="517">
        <v>42499</v>
      </c>
      <c r="C2488" s="119">
        <v>7866.05</v>
      </c>
    </row>
    <row r="2489" spans="2:3" x14ac:dyDescent="0.35">
      <c r="B2489" s="517">
        <v>42496</v>
      </c>
      <c r="C2489" s="119">
        <v>7733.45</v>
      </c>
    </row>
    <row r="2490" spans="2:3" x14ac:dyDescent="0.35">
      <c r="B2490" s="517">
        <v>42495</v>
      </c>
      <c r="C2490" s="119">
        <v>7735.5</v>
      </c>
    </row>
    <row r="2491" spans="2:3" x14ac:dyDescent="0.35">
      <c r="B2491" s="517">
        <v>42494</v>
      </c>
      <c r="C2491" s="119">
        <v>7706.55</v>
      </c>
    </row>
    <row r="2492" spans="2:3" x14ac:dyDescent="0.35">
      <c r="B2492" s="517">
        <v>42493</v>
      </c>
      <c r="C2492" s="119">
        <v>7747</v>
      </c>
    </row>
    <row r="2493" spans="2:3" x14ac:dyDescent="0.35">
      <c r="B2493" s="517">
        <v>42492</v>
      </c>
      <c r="C2493" s="119">
        <v>7805.9</v>
      </c>
    </row>
    <row r="2494" spans="2:3" x14ac:dyDescent="0.35">
      <c r="B2494" s="517">
        <v>42489</v>
      </c>
      <c r="C2494" s="119">
        <v>7849.8</v>
      </c>
    </row>
    <row r="2495" spans="2:3" x14ac:dyDescent="0.35">
      <c r="B2495" s="517">
        <v>42488</v>
      </c>
      <c r="C2495" s="119">
        <v>7847.25</v>
      </c>
    </row>
    <row r="2496" spans="2:3" x14ac:dyDescent="0.35">
      <c r="B2496" s="517">
        <v>42487</v>
      </c>
      <c r="C2496" s="119">
        <v>7979.9</v>
      </c>
    </row>
    <row r="2497" spans="2:3" x14ac:dyDescent="0.35">
      <c r="B2497" s="517">
        <v>42486</v>
      </c>
      <c r="C2497" s="119">
        <v>7962.65</v>
      </c>
    </row>
    <row r="2498" spans="2:3" x14ac:dyDescent="0.35">
      <c r="B2498" s="517">
        <v>42485</v>
      </c>
      <c r="C2498" s="119">
        <v>7855.05</v>
      </c>
    </row>
    <row r="2499" spans="2:3" x14ac:dyDescent="0.35">
      <c r="B2499" s="517">
        <v>42482</v>
      </c>
      <c r="C2499" s="119">
        <v>7899.3</v>
      </c>
    </row>
    <row r="2500" spans="2:3" x14ac:dyDescent="0.35">
      <c r="B2500" s="517">
        <v>42481</v>
      </c>
      <c r="C2500" s="119">
        <v>7912.05</v>
      </c>
    </row>
    <row r="2501" spans="2:3" x14ac:dyDescent="0.35">
      <c r="B2501" s="517">
        <v>42480</v>
      </c>
      <c r="C2501" s="119">
        <v>7914.75</v>
      </c>
    </row>
    <row r="2502" spans="2:3" x14ac:dyDescent="0.35">
      <c r="B2502" s="517">
        <v>42478</v>
      </c>
      <c r="C2502" s="119">
        <v>7914.7</v>
      </c>
    </row>
    <row r="2503" spans="2:3" x14ac:dyDescent="0.35">
      <c r="B2503" s="517">
        <v>42473</v>
      </c>
      <c r="C2503" s="119">
        <v>7850.45</v>
      </c>
    </row>
    <row r="2504" spans="2:3" x14ac:dyDescent="0.35">
      <c r="B2504" s="517">
        <v>42472</v>
      </c>
      <c r="C2504" s="119">
        <v>7708.95</v>
      </c>
    </row>
    <row r="2505" spans="2:3" x14ac:dyDescent="0.35">
      <c r="B2505" s="517">
        <v>42471</v>
      </c>
      <c r="C2505" s="119">
        <v>7671.4</v>
      </c>
    </row>
    <row r="2506" spans="2:3" x14ac:dyDescent="0.35">
      <c r="B2506" s="517">
        <v>42468</v>
      </c>
      <c r="C2506" s="119">
        <v>7555.2</v>
      </c>
    </row>
    <row r="2507" spans="2:3" x14ac:dyDescent="0.35">
      <c r="B2507" s="517">
        <v>42467</v>
      </c>
      <c r="C2507" s="119">
        <v>7546.45</v>
      </c>
    </row>
    <row r="2508" spans="2:3" x14ac:dyDescent="0.35">
      <c r="B2508" s="517">
        <v>42466</v>
      </c>
      <c r="C2508" s="119">
        <v>7614.35</v>
      </c>
    </row>
    <row r="2509" spans="2:3" x14ac:dyDescent="0.35">
      <c r="B2509" s="517">
        <v>42465</v>
      </c>
      <c r="C2509" s="119">
        <v>7603.2</v>
      </c>
    </row>
    <row r="2510" spans="2:3" x14ac:dyDescent="0.35">
      <c r="B2510" s="517">
        <v>42464</v>
      </c>
      <c r="C2510" s="119">
        <v>7758.8</v>
      </c>
    </row>
    <row r="2511" spans="2:3" x14ac:dyDescent="0.35">
      <c r="B2511" s="517">
        <v>42461</v>
      </c>
      <c r="C2511" s="119">
        <v>7713.05</v>
      </c>
    </row>
    <row r="2512" spans="2:3" x14ac:dyDescent="0.35">
      <c r="B2512" s="517">
        <v>42460</v>
      </c>
      <c r="C2512" s="119">
        <v>7738.4</v>
      </c>
    </row>
    <row r="2513" spans="2:3" x14ac:dyDescent="0.35">
      <c r="B2513" s="517">
        <v>42459</v>
      </c>
      <c r="C2513" s="119">
        <v>7735.2</v>
      </c>
    </row>
    <row r="2514" spans="2:3" x14ac:dyDescent="0.35">
      <c r="B2514" s="517">
        <v>42458</v>
      </c>
      <c r="C2514" s="119">
        <v>7597</v>
      </c>
    </row>
    <row r="2515" spans="2:3" x14ac:dyDescent="0.35">
      <c r="B2515" s="517">
        <v>42457</v>
      </c>
      <c r="C2515" s="119">
        <v>7615.1</v>
      </c>
    </row>
    <row r="2516" spans="2:3" x14ac:dyDescent="0.35">
      <c r="B2516" s="517">
        <v>42452</v>
      </c>
      <c r="C2516" s="119">
        <v>7716.5</v>
      </c>
    </row>
    <row r="2517" spans="2:3" x14ac:dyDescent="0.35">
      <c r="B2517" s="517">
        <v>42451</v>
      </c>
      <c r="C2517" s="119">
        <v>7714.9</v>
      </c>
    </row>
    <row r="2518" spans="2:3" x14ac:dyDescent="0.35">
      <c r="B2518" s="517">
        <v>42450</v>
      </c>
      <c r="C2518" s="119">
        <v>7704.25</v>
      </c>
    </row>
    <row r="2519" spans="2:3" x14ac:dyDescent="0.35">
      <c r="B2519" s="517">
        <v>42447</v>
      </c>
      <c r="C2519" s="119">
        <v>7604.35</v>
      </c>
    </row>
    <row r="2520" spans="2:3" x14ac:dyDescent="0.35">
      <c r="B2520" s="517">
        <v>42446</v>
      </c>
      <c r="C2520" s="119">
        <v>7512.55</v>
      </c>
    </row>
    <row r="2521" spans="2:3" x14ac:dyDescent="0.35">
      <c r="B2521" s="517">
        <v>42445</v>
      </c>
      <c r="C2521" s="119">
        <v>7498.75</v>
      </c>
    </row>
    <row r="2522" spans="2:3" x14ac:dyDescent="0.35">
      <c r="B2522" s="517">
        <v>42444</v>
      </c>
      <c r="C2522" s="119">
        <v>7460.6</v>
      </c>
    </row>
    <row r="2523" spans="2:3" x14ac:dyDescent="0.35">
      <c r="B2523" s="517">
        <v>42443</v>
      </c>
      <c r="C2523" s="119">
        <v>7538.75</v>
      </c>
    </row>
    <row r="2524" spans="2:3" x14ac:dyDescent="0.35">
      <c r="B2524" s="517">
        <v>42440</v>
      </c>
      <c r="C2524" s="119">
        <v>7510.2</v>
      </c>
    </row>
    <row r="2525" spans="2:3" x14ac:dyDescent="0.35">
      <c r="B2525" s="517">
        <v>42439</v>
      </c>
      <c r="C2525" s="119">
        <v>7486.15</v>
      </c>
    </row>
    <row r="2526" spans="2:3" x14ac:dyDescent="0.35">
      <c r="B2526" s="517">
        <v>42438</v>
      </c>
      <c r="C2526" s="119">
        <v>7531.8</v>
      </c>
    </row>
    <row r="2527" spans="2:3" x14ac:dyDescent="0.35">
      <c r="B2527" s="517">
        <v>42437</v>
      </c>
      <c r="C2527" s="119">
        <v>7485.3</v>
      </c>
    </row>
    <row r="2528" spans="2:3" x14ac:dyDescent="0.35">
      <c r="B2528" s="517">
        <v>42433</v>
      </c>
      <c r="C2528" s="119">
        <v>7485.35</v>
      </c>
    </row>
    <row r="2529" spans="2:3" x14ac:dyDescent="0.35">
      <c r="B2529" s="517">
        <v>42432</v>
      </c>
      <c r="C2529" s="119">
        <v>7475.6</v>
      </c>
    </row>
    <row r="2530" spans="2:3" x14ac:dyDescent="0.35">
      <c r="B2530" s="517">
        <v>42431</v>
      </c>
      <c r="C2530" s="119">
        <v>7368.85</v>
      </c>
    </row>
    <row r="2531" spans="2:3" x14ac:dyDescent="0.35">
      <c r="B2531" s="517">
        <v>42430</v>
      </c>
      <c r="C2531" s="119">
        <v>7222.3</v>
      </c>
    </row>
    <row r="2532" spans="2:3" x14ac:dyDescent="0.35">
      <c r="B2532" s="517">
        <v>42429</v>
      </c>
      <c r="C2532" s="119">
        <v>6987.05</v>
      </c>
    </row>
    <row r="2533" spans="2:3" x14ac:dyDescent="0.35">
      <c r="B2533" s="517">
        <v>42426</v>
      </c>
      <c r="C2533" s="119">
        <v>7029.75</v>
      </c>
    </row>
    <row r="2534" spans="2:3" x14ac:dyDescent="0.35">
      <c r="B2534" s="517">
        <v>42425</v>
      </c>
      <c r="C2534" s="119">
        <v>6970.6</v>
      </c>
    </row>
    <row r="2535" spans="2:3" x14ac:dyDescent="0.35">
      <c r="B2535" s="517">
        <v>42424</v>
      </c>
      <c r="C2535" s="119">
        <v>7018.7</v>
      </c>
    </row>
    <row r="2536" spans="2:3" x14ac:dyDescent="0.35">
      <c r="B2536" s="517">
        <v>42423</v>
      </c>
      <c r="C2536" s="119">
        <v>7109.55</v>
      </c>
    </row>
    <row r="2537" spans="2:3" x14ac:dyDescent="0.35">
      <c r="B2537" s="517">
        <v>42422</v>
      </c>
      <c r="C2537" s="119">
        <v>7234.55</v>
      </c>
    </row>
    <row r="2538" spans="2:3" x14ac:dyDescent="0.35">
      <c r="B2538" s="517">
        <v>42419</v>
      </c>
      <c r="C2538" s="119">
        <v>7210.75</v>
      </c>
    </row>
    <row r="2539" spans="2:3" x14ac:dyDescent="0.35">
      <c r="B2539" s="517">
        <v>42418</v>
      </c>
      <c r="C2539" s="119">
        <v>7191.75</v>
      </c>
    </row>
    <row r="2540" spans="2:3" x14ac:dyDescent="0.35">
      <c r="B2540" s="517">
        <v>42417</v>
      </c>
      <c r="C2540" s="119">
        <v>7108.45</v>
      </c>
    </row>
    <row r="2541" spans="2:3" x14ac:dyDescent="0.35">
      <c r="B2541" s="517">
        <v>42416</v>
      </c>
      <c r="C2541" s="119">
        <v>7048.25</v>
      </c>
    </row>
    <row r="2542" spans="2:3" x14ac:dyDescent="0.35">
      <c r="B2542" s="517">
        <v>42415</v>
      </c>
      <c r="C2542" s="119">
        <v>7162.95</v>
      </c>
    </row>
    <row r="2543" spans="2:3" x14ac:dyDescent="0.35">
      <c r="B2543" s="517">
        <v>42412</v>
      </c>
      <c r="C2543" s="119">
        <v>6980.95</v>
      </c>
    </row>
    <row r="2544" spans="2:3" x14ac:dyDescent="0.35">
      <c r="B2544" s="517">
        <v>42411</v>
      </c>
      <c r="C2544" s="119">
        <v>6976.35</v>
      </c>
    </row>
    <row r="2545" spans="2:3" x14ac:dyDescent="0.35">
      <c r="B2545" s="517">
        <v>42410</v>
      </c>
      <c r="C2545" s="119">
        <v>7215.7</v>
      </c>
    </row>
    <row r="2546" spans="2:3" x14ac:dyDescent="0.35">
      <c r="B2546" s="517">
        <v>42409</v>
      </c>
      <c r="C2546" s="119">
        <v>7298.2</v>
      </c>
    </row>
    <row r="2547" spans="2:3" x14ac:dyDescent="0.35">
      <c r="B2547" s="517">
        <v>42408</v>
      </c>
      <c r="C2547" s="119">
        <v>7387.25</v>
      </c>
    </row>
    <row r="2548" spans="2:3" x14ac:dyDescent="0.35">
      <c r="B2548" s="517">
        <v>42405</v>
      </c>
      <c r="C2548" s="119">
        <v>7489.1</v>
      </c>
    </row>
    <row r="2549" spans="2:3" x14ac:dyDescent="0.35">
      <c r="B2549" s="517">
        <v>42404</v>
      </c>
      <c r="C2549" s="119">
        <v>7404</v>
      </c>
    </row>
    <row r="2550" spans="2:3" x14ac:dyDescent="0.35">
      <c r="B2550" s="517">
        <v>42403</v>
      </c>
      <c r="C2550" s="119">
        <v>7361.8</v>
      </c>
    </row>
    <row r="2551" spans="2:3" x14ac:dyDescent="0.35">
      <c r="B2551" s="517">
        <v>42402</v>
      </c>
      <c r="C2551" s="119">
        <v>7455.55</v>
      </c>
    </row>
    <row r="2552" spans="2:3" x14ac:dyDescent="0.35">
      <c r="B2552" s="517">
        <v>42401</v>
      </c>
      <c r="C2552" s="119">
        <v>7555.95</v>
      </c>
    </row>
    <row r="2553" spans="2:3" x14ac:dyDescent="0.35">
      <c r="B2553" s="517">
        <v>42398</v>
      </c>
      <c r="C2553" s="119">
        <v>7563.55</v>
      </c>
    </row>
    <row r="2554" spans="2:3" x14ac:dyDescent="0.35">
      <c r="B2554" s="517">
        <v>42397</v>
      </c>
      <c r="C2554" s="119">
        <v>7424.65</v>
      </c>
    </row>
    <row r="2555" spans="2:3" x14ac:dyDescent="0.35">
      <c r="B2555" s="517">
        <v>42396</v>
      </c>
      <c r="C2555" s="119">
        <v>7437.75</v>
      </c>
    </row>
    <row r="2556" spans="2:3" x14ac:dyDescent="0.35">
      <c r="B2556" s="517">
        <v>42394</v>
      </c>
      <c r="C2556" s="119">
        <v>7436.15</v>
      </c>
    </row>
    <row r="2557" spans="2:3" x14ac:dyDescent="0.35">
      <c r="B2557" s="517">
        <v>42391</v>
      </c>
      <c r="C2557" s="119">
        <v>7422.45</v>
      </c>
    </row>
    <row r="2558" spans="2:3" x14ac:dyDescent="0.35">
      <c r="B2558" s="517">
        <v>42390</v>
      </c>
      <c r="C2558" s="119">
        <v>7276.8</v>
      </c>
    </row>
    <row r="2559" spans="2:3" x14ac:dyDescent="0.35">
      <c r="B2559" s="517">
        <v>42389</v>
      </c>
      <c r="C2559" s="119">
        <v>7309.3</v>
      </c>
    </row>
    <row r="2560" spans="2:3" x14ac:dyDescent="0.35">
      <c r="B2560" s="517">
        <v>42388</v>
      </c>
      <c r="C2560" s="119">
        <v>7435.1</v>
      </c>
    </row>
    <row r="2561" spans="2:3" x14ac:dyDescent="0.35">
      <c r="B2561" s="517">
        <v>42387</v>
      </c>
      <c r="C2561" s="119">
        <v>7351</v>
      </c>
    </row>
    <row r="2562" spans="2:3" x14ac:dyDescent="0.35">
      <c r="B2562" s="517">
        <v>42384</v>
      </c>
      <c r="C2562" s="119">
        <v>7437.8</v>
      </c>
    </row>
    <row r="2563" spans="2:3" x14ac:dyDescent="0.35">
      <c r="B2563" s="517">
        <v>42383</v>
      </c>
      <c r="C2563" s="119">
        <v>7536.8</v>
      </c>
    </row>
    <row r="2564" spans="2:3" x14ac:dyDescent="0.35">
      <c r="B2564" s="517">
        <v>42382</v>
      </c>
      <c r="C2564" s="119">
        <v>7562.4</v>
      </c>
    </row>
    <row r="2565" spans="2:3" x14ac:dyDescent="0.35">
      <c r="B2565" s="517">
        <v>42381</v>
      </c>
      <c r="C2565" s="119">
        <v>7510.3</v>
      </c>
    </row>
    <row r="2566" spans="2:3" x14ac:dyDescent="0.35">
      <c r="B2566" s="517">
        <v>42380</v>
      </c>
      <c r="C2566" s="119">
        <v>7563.85</v>
      </c>
    </row>
    <row r="2567" spans="2:3" x14ac:dyDescent="0.35">
      <c r="B2567" s="517">
        <v>42377</v>
      </c>
      <c r="C2567" s="119">
        <v>7601.35</v>
      </c>
    </row>
    <row r="2568" spans="2:3" x14ac:dyDescent="0.35">
      <c r="B2568" s="517">
        <v>42376</v>
      </c>
      <c r="C2568" s="119">
        <v>7568.3</v>
      </c>
    </row>
    <row r="2569" spans="2:3" x14ac:dyDescent="0.35">
      <c r="B2569" s="517">
        <v>42375</v>
      </c>
      <c r="C2569" s="119">
        <v>7741</v>
      </c>
    </row>
    <row r="2570" spans="2:3" x14ac:dyDescent="0.35">
      <c r="B2570" s="517">
        <v>42374</v>
      </c>
      <c r="C2570" s="119">
        <v>7784.65</v>
      </c>
    </row>
    <row r="2571" spans="2:3" x14ac:dyDescent="0.35">
      <c r="B2571" s="517">
        <v>42373</v>
      </c>
      <c r="C2571" s="119">
        <v>7791.3</v>
      </c>
    </row>
    <row r="2572" spans="2:3" x14ac:dyDescent="0.35">
      <c r="B2572" s="517">
        <v>42370</v>
      </c>
      <c r="C2572" s="119">
        <v>7963.2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47"/>
  <sheetViews>
    <sheetView showGridLines="0" workbookViewId="0">
      <selection activeCell="I6" sqref="I6"/>
    </sheetView>
  </sheetViews>
  <sheetFormatPr defaultColWidth="8.81640625" defaultRowHeight="14.5" x14ac:dyDescent="0.35"/>
  <cols>
    <col min="1" max="3" width="1.81640625" customWidth="1"/>
    <col min="7" max="7" width="12.453125" customWidth="1"/>
    <col min="8" max="8" width="21.453125" customWidth="1"/>
    <col min="9" max="14" width="12.36328125" customWidth="1"/>
  </cols>
  <sheetData>
    <row r="1" spans="1:14" ht="32" x14ac:dyDescent="0.35">
      <c r="A1" s="300" t="str">
        <f>Scenarios!A1</f>
        <v>Neogen Chemicals Limited</v>
      </c>
      <c r="B1" s="301"/>
      <c r="C1" s="301"/>
      <c r="D1" s="301"/>
      <c r="E1" s="301"/>
      <c r="F1" s="301"/>
      <c r="G1" s="301"/>
      <c r="H1" s="301"/>
      <c r="I1" s="301"/>
      <c r="J1" s="301"/>
      <c r="K1" s="301"/>
      <c r="L1" s="301"/>
      <c r="M1" s="301"/>
      <c r="N1" s="301"/>
    </row>
    <row r="2" spans="1:14" ht="18" x14ac:dyDescent="0.35">
      <c r="A2" s="239" t="s">
        <v>332</v>
      </c>
      <c r="B2" s="302"/>
      <c r="C2" s="302"/>
      <c r="D2" s="302"/>
      <c r="E2" s="302"/>
      <c r="F2" s="302"/>
      <c r="G2" s="302"/>
      <c r="H2" s="302"/>
      <c r="I2" s="302"/>
      <c r="J2" s="302"/>
      <c r="K2" s="302"/>
      <c r="L2" s="302"/>
      <c r="M2" s="302"/>
      <c r="N2" s="302"/>
    </row>
    <row r="3" spans="1:14" ht="16" x14ac:dyDescent="0.35">
      <c r="A3" s="303" t="s">
        <v>333</v>
      </c>
      <c r="B3" s="304"/>
      <c r="C3" s="304"/>
      <c r="D3" s="304"/>
      <c r="E3" s="304"/>
      <c r="F3" s="304"/>
      <c r="G3" s="304"/>
      <c r="H3" s="304"/>
      <c r="I3" s="304"/>
      <c r="J3" s="304"/>
      <c r="K3" s="304"/>
      <c r="L3" s="304"/>
      <c r="M3" s="304"/>
      <c r="N3" s="304"/>
    </row>
    <row r="4" spans="1:14" ht="15.5" x14ac:dyDescent="0.35">
      <c r="A4" s="242"/>
      <c r="B4" s="242"/>
      <c r="C4" s="242"/>
      <c r="D4" s="242"/>
      <c r="E4" s="242"/>
      <c r="F4" s="242"/>
      <c r="G4" s="242"/>
      <c r="H4" s="242"/>
      <c r="I4" s="242"/>
      <c r="J4" s="242"/>
      <c r="K4" s="242"/>
      <c r="L4" s="242"/>
      <c r="M4" s="242"/>
      <c r="N4" s="242"/>
    </row>
    <row r="5" spans="1:14" ht="15.5" x14ac:dyDescent="0.35">
      <c r="A5" s="242"/>
      <c r="B5" s="242"/>
      <c r="C5" s="242"/>
      <c r="D5" s="242"/>
      <c r="E5" s="242"/>
      <c r="F5" s="242"/>
      <c r="G5" s="242"/>
      <c r="H5" s="242"/>
      <c r="I5" s="242"/>
      <c r="J5" s="242"/>
      <c r="K5" s="242"/>
      <c r="L5" s="242"/>
      <c r="M5" s="242"/>
      <c r="N5" s="242"/>
    </row>
    <row r="6" spans="1:14" ht="15.5" x14ac:dyDescent="0.35">
      <c r="A6" s="305" t="s">
        <v>334</v>
      </c>
      <c r="B6" s="305"/>
      <c r="C6" s="305"/>
      <c r="D6" s="305"/>
      <c r="E6" s="305"/>
      <c r="F6" s="305"/>
      <c r="G6" s="305"/>
      <c r="H6" s="305"/>
      <c r="I6" s="305"/>
      <c r="J6" s="305"/>
      <c r="K6" s="305"/>
      <c r="L6" s="305"/>
      <c r="M6" s="305"/>
      <c r="N6" s="305"/>
    </row>
    <row r="7" spans="1:14" ht="15.5" x14ac:dyDescent="0.35">
      <c r="A7" s="242"/>
      <c r="B7" s="242"/>
      <c r="C7" s="242"/>
      <c r="D7" s="242"/>
      <c r="E7" s="242"/>
      <c r="F7" s="242"/>
      <c r="G7" s="242"/>
      <c r="H7" s="242"/>
      <c r="I7" s="242"/>
      <c r="J7" s="242"/>
      <c r="K7" s="242"/>
      <c r="L7" s="242"/>
      <c r="M7" s="242"/>
      <c r="N7" s="242"/>
    </row>
    <row r="8" spans="1:14" ht="15.5" x14ac:dyDescent="0.35">
      <c r="A8" s="242"/>
      <c r="B8" s="243"/>
      <c r="C8" s="244"/>
      <c r="D8" s="242"/>
      <c r="E8" s="242"/>
      <c r="F8" s="242"/>
      <c r="G8" s="242"/>
      <c r="H8" s="245" t="s">
        <v>335</v>
      </c>
      <c r="I8" s="245" t="s">
        <v>336</v>
      </c>
      <c r="J8" s="245" t="s">
        <v>337</v>
      </c>
      <c r="K8" s="245" t="s">
        <v>337</v>
      </c>
      <c r="L8" s="245" t="s">
        <v>338</v>
      </c>
      <c r="M8" s="245" t="s">
        <v>339</v>
      </c>
      <c r="N8" s="245" t="s">
        <v>340</v>
      </c>
    </row>
    <row r="9" spans="1:14" ht="15.5" x14ac:dyDescent="0.35">
      <c r="A9" s="242"/>
      <c r="B9" s="242"/>
      <c r="C9" s="246"/>
      <c r="D9" s="247" t="s">
        <v>313</v>
      </c>
      <c r="E9" s="248"/>
      <c r="F9" s="248"/>
      <c r="G9" s="248"/>
      <c r="H9" s="249" t="s">
        <v>341</v>
      </c>
      <c r="I9" s="249" t="s">
        <v>199</v>
      </c>
      <c r="J9" s="249" t="s">
        <v>335</v>
      </c>
      <c r="K9" s="249" t="s">
        <v>342</v>
      </c>
      <c r="L9" s="249" t="s">
        <v>343</v>
      </c>
      <c r="M9" s="249" t="s">
        <v>344</v>
      </c>
      <c r="N9" s="249" t="s">
        <v>344</v>
      </c>
    </row>
    <row r="10" spans="1:14" ht="15.5" x14ac:dyDescent="0.35">
      <c r="A10" s="242"/>
      <c r="B10" s="242"/>
      <c r="C10" s="242"/>
      <c r="D10" s="206" t="str">
        <f>'Comps Data'!D8</f>
        <v xml:space="preserve">  Navin Fluorine International</v>
      </c>
      <c r="E10" s="242"/>
      <c r="F10" s="242"/>
      <c r="G10" s="242"/>
      <c r="H10" s="250">
        <f>Comp!I8</f>
        <v>35966.43</v>
      </c>
      <c r="I10" s="251">
        <f>Comp!J8</f>
        <v>1176.72</v>
      </c>
      <c r="J10" s="252">
        <f t="shared" ref="J10:J15" si="0">I10/H10</f>
        <v>3.2717175432757713E-2</v>
      </c>
      <c r="K10" s="252">
        <f t="shared" ref="K10:K15" si="1">I10/SUM(H10,I10)</f>
        <v>3.1680673286999084E-2</v>
      </c>
      <c r="L10" s="253">
        <f>'Comps Data'!P8</f>
        <v>0.31703513757017121</v>
      </c>
      <c r="M10" s="254">
        <v>0.22</v>
      </c>
      <c r="N10" s="255">
        <f t="shared" ref="N10:N15" si="2">M10/(1+(1-M10)*J10)</f>
        <v>0.21452544016078656</v>
      </c>
    </row>
    <row r="11" spans="1:14" ht="15.5" x14ac:dyDescent="0.35">
      <c r="A11" s="242"/>
      <c r="B11" s="242"/>
      <c r="C11" s="242"/>
      <c r="D11" s="206" t="str">
        <f>'Comps Data'!D9</f>
        <v xml:space="preserve">  Gujarat Fluorochemicals</v>
      </c>
      <c r="E11" s="242"/>
      <c r="F11" s="242"/>
      <c r="G11" s="242"/>
      <c r="H11" s="250">
        <f>Comp!I9</f>
        <v>40340.520000000004</v>
      </c>
      <c r="I11" s="251">
        <f>Comp!J9</f>
        <v>1722</v>
      </c>
      <c r="J11" s="252">
        <f t="shared" si="0"/>
        <v>4.2686608898447512E-2</v>
      </c>
      <c r="K11" s="252">
        <f t="shared" si="1"/>
        <v>4.0939059286034217E-2</v>
      </c>
      <c r="L11" s="253">
        <f>'Comps Data'!P9</f>
        <v>0.30549253512880564</v>
      </c>
      <c r="M11" s="254">
        <v>0.55000000000000004</v>
      </c>
      <c r="N11" s="255">
        <f t="shared" si="2"/>
        <v>0.53963418104448413</v>
      </c>
    </row>
    <row r="12" spans="1:14" ht="15.5" x14ac:dyDescent="0.35">
      <c r="A12" s="242"/>
      <c r="B12" s="242"/>
      <c r="C12" s="242"/>
      <c r="D12" s="206" t="str">
        <f>'Comps Data'!D10</f>
        <v xml:space="preserve">  Aarti Industries</v>
      </c>
      <c r="E12" s="242"/>
      <c r="F12" s="242"/>
      <c r="G12" s="242"/>
      <c r="H12" s="250">
        <f>Comp!I10</f>
        <v>17042.2</v>
      </c>
      <c r="I12" s="251">
        <f>Comp!J10</f>
        <v>3973</v>
      </c>
      <c r="J12" s="252">
        <f t="shared" si="0"/>
        <v>0.2331271784159322</v>
      </c>
      <c r="K12" s="252">
        <f t="shared" si="1"/>
        <v>0.18905363736723896</v>
      </c>
      <c r="L12" s="253">
        <f>'Comps Data'!P10</f>
        <v>0.25</v>
      </c>
      <c r="M12" s="254">
        <v>0.46</v>
      </c>
      <c r="N12" s="255">
        <f t="shared" si="2"/>
        <v>0.40856614838109157</v>
      </c>
    </row>
    <row r="13" spans="1:14" ht="15.5" x14ac:dyDescent="0.35">
      <c r="A13" s="242"/>
      <c r="B13" s="242"/>
      <c r="C13" s="242"/>
      <c r="D13" s="206" t="str">
        <f>'Comps Data'!D11</f>
        <v xml:space="preserve">  Atul Ltd</v>
      </c>
      <c r="E13" s="242"/>
      <c r="F13" s="242"/>
      <c r="G13" s="242"/>
      <c r="H13" s="250">
        <f>Comp!I11</f>
        <v>20535.899999999998</v>
      </c>
      <c r="I13" s="251">
        <f>Comp!J11</f>
        <v>185.95</v>
      </c>
      <c r="J13" s="252">
        <f t="shared" si="0"/>
        <v>9.0548746341772221E-3</v>
      </c>
      <c r="K13" s="252">
        <f t="shared" si="1"/>
        <v>8.9736196333821544E-3</v>
      </c>
      <c r="L13" s="253">
        <f>'Comps Data'!P11</f>
        <v>0.39741432382515901</v>
      </c>
      <c r="M13" s="254">
        <v>0.13</v>
      </c>
      <c r="N13" s="255">
        <f t="shared" si="2"/>
        <v>0.12898389826510237</v>
      </c>
    </row>
    <row r="14" spans="1:14" ht="15.5" x14ac:dyDescent="0.35">
      <c r="A14" s="242"/>
      <c r="B14" s="242"/>
      <c r="C14" s="242"/>
      <c r="D14" s="206" t="str">
        <f>'Comps Data'!D12</f>
        <v xml:space="preserve">  Deepak Nitrite</v>
      </c>
      <c r="E14" s="242"/>
      <c r="F14" s="242"/>
      <c r="G14" s="242"/>
      <c r="H14" s="250">
        <f>Comp!I12</f>
        <v>25056.68</v>
      </c>
      <c r="I14" s="251">
        <f>Comp!J12</f>
        <v>1243.9000000000001</v>
      </c>
      <c r="J14" s="252">
        <f t="shared" si="0"/>
        <v>4.9643448373846814E-2</v>
      </c>
      <c r="K14" s="252">
        <f t="shared" si="1"/>
        <v>4.7295534927366621E-2</v>
      </c>
      <c r="L14" s="253">
        <f>'Comps Data'!P12</f>
        <v>0.37530494077535781</v>
      </c>
      <c r="M14" s="254">
        <v>0.01</v>
      </c>
      <c r="N14" s="255">
        <f t="shared" si="2"/>
        <v>9.5315526495388155E-3</v>
      </c>
    </row>
    <row r="15" spans="1:14" ht="15.5" x14ac:dyDescent="0.35">
      <c r="A15" s="242"/>
      <c r="B15" s="242"/>
      <c r="C15" s="242"/>
      <c r="D15" s="206" t="str">
        <f>'Comps Data'!D13</f>
        <v xml:space="preserve">  BASF India</v>
      </c>
      <c r="E15" s="242"/>
      <c r="F15" s="242"/>
      <c r="G15" s="242"/>
      <c r="H15" s="250">
        <f>Comp!I13</f>
        <v>16436.68</v>
      </c>
      <c r="I15" s="251">
        <f>Comp!J13</f>
        <v>1243.9000000000001</v>
      </c>
      <c r="J15" s="252">
        <f t="shared" si="0"/>
        <v>7.5678299997323062E-2</v>
      </c>
      <c r="K15" s="252">
        <f t="shared" si="1"/>
        <v>7.0354026847535542E-2</v>
      </c>
      <c r="L15" s="253">
        <f>'Comps Data'!P13</f>
        <v>0.36151875145585838</v>
      </c>
      <c r="M15" s="254">
        <v>0.34</v>
      </c>
      <c r="N15" s="255">
        <f t="shared" si="2"/>
        <v>0.323825660196919</v>
      </c>
    </row>
    <row r="16" spans="1:14" ht="15.5" x14ac:dyDescent="0.35">
      <c r="A16" s="242"/>
      <c r="B16" s="242"/>
      <c r="C16" s="242"/>
      <c r="D16" s="206"/>
      <c r="E16" s="242"/>
      <c r="F16" s="242"/>
      <c r="G16" s="242"/>
      <c r="H16" s="250"/>
      <c r="I16" s="251"/>
      <c r="J16" s="252"/>
      <c r="K16" s="252"/>
      <c r="L16" s="253"/>
      <c r="M16" s="254"/>
      <c r="N16" s="255"/>
    </row>
    <row r="17" spans="1:14" ht="15.5" x14ac:dyDescent="0.35">
      <c r="A17" s="242"/>
      <c r="B17" s="242"/>
      <c r="C17" s="242"/>
      <c r="D17" s="206"/>
      <c r="E17" s="242"/>
      <c r="F17" s="242"/>
      <c r="G17" s="242"/>
      <c r="H17" s="250"/>
      <c r="I17" s="250"/>
      <c r="J17" s="252"/>
      <c r="K17" s="252"/>
      <c r="L17" s="253"/>
      <c r="M17" s="254"/>
      <c r="N17" s="255"/>
    </row>
    <row r="18" spans="1:14" ht="15.5" x14ac:dyDescent="0.35">
      <c r="A18" s="242"/>
      <c r="B18" s="242"/>
      <c r="C18" s="242"/>
      <c r="D18" s="256" t="s">
        <v>280</v>
      </c>
      <c r="E18" s="257"/>
      <c r="F18" s="257"/>
      <c r="G18" s="257"/>
      <c r="H18" s="258"/>
      <c r="I18" s="259"/>
      <c r="J18" s="260">
        <f>AVERAGE(J10:J15)</f>
        <v>7.3817930958747419E-2</v>
      </c>
      <c r="K18" s="260">
        <f>AVERAGE(K10:K15)</f>
        <v>6.4716091891426089E-2</v>
      </c>
      <c r="L18" s="260">
        <f>AVERAGE(L10:L15)</f>
        <v>0.334460948125892</v>
      </c>
      <c r="M18" s="260">
        <f>AVERAGE(M10:M15)</f>
        <v>0.28499999999999998</v>
      </c>
      <c r="N18" s="260">
        <f>AVERAGE(N10:N15)</f>
        <v>0.2708444801163204</v>
      </c>
    </row>
    <row r="19" spans="1:14" ht="15.5" x14ac:dyDescent="0.35">
      <c r="A19" s="242"/>
      <c r="B19" s="242"/>
      <c r="C19" s="242"/>
      <c r="D19" s="256" t="s">
        <v>319</v>
      </c>
      <c r="E19" s="261"/>
      <c r="F19" s="257"/>
      <c r="G19" s="257"/>
      <c r="H19" s="258"/>
      <c r="I19" s="259"/>
      <c r="J19" s="260">
        <f>MEDIAN(J10:J15)</f>
        <v>4.616502863614716E-2</v>
      </c>
      <c r="K19" s="260">
        <f>MEDIAN(K10:K15)</f>
        <v>4.4117297106700419E-2</v>
      </c>
      <c r="L19" s="260">
        <f>MEDIAN(L10:L15)</f>
        <v>0.33927694451301482</v>
      </c>
      <c r="M19" s="260">
        <f>MEDIAN(M10:M15)</f>
        <v>0.28000000000000003</v>
      </c>
      <c r="N19" s="260">
        <f>MEDIAN(N10:N15)</f>
        <v>0.26917555017885275</v>
      </c>
    </row>
    <row r="20" spans="1:14" ht="15.5" x14ac:dyDescent="0.35">
      <c r="A20" s="242"/>
      <c r="B20" s="232"/>
      <c r="C20" s="242"/>
      <c r="D20" s="242"/>
      <c r="E20" s="242"/>
      <c r="F20" s="242"/>
      <c r="G20" s="242"/>
      <c r="H20" s="262"/>
      <c r="I20" s="262"/>
      <c r="J20" s="242"/>
      <c r="K20" s="242"/>
      <c r="L20" s="242"/>
      <c r="M20" s="242"/>
      <c r="N20" s="242"/>
    </row>
    <row r="21" spans="1:14" ht="15.5" x14ac:dyDescent="0.35">
      <c r="A21" s="242"/>
      <c r="B21" s="242"/>
      <c r="C21" s="242"/>
      <c r="D21" s="263" t="str">
        <f>A1</f>
        <v>Neogen Chemicals Limited</v>
      </c>
      <c r="E21" s="264"/>
      <c r="F21" s="264"/>
      <c r="G21" s="264"/>
      <c r="H21" s="265">
        <f>Comp!I19</f>
        <v>4403.8928408199999</v>
      </c>
      <c r="I21" s="265">
        <f>Comp!J19</f>
        <v>566.04</v>
      </c>
      <c r="J21" s="266">
        <f>I21/H21</f>
        <v>0.1285317378191709</v>
      </c>
      <c r="K21" s="266">
        <f>I21/SUM(H21,I21)</f>
        <v>0.11389288711326083</v>
      </c>
      <c r="L21" s="267">
        <f>'Comps Data'!P6</f>
        <v>0.34705907642627509</v>
      </c>
      <c r="M21" s="389">
        <f>Beta!K10</f>
        <v>1.1939367860241412</v>
      </c>
      <c r="N21" s="268">
        <f>M21/(1+(1-M21)*J21)</f>
        <v>1.2244589126884031</v>
      </c>
    </row>
    <row r="22" spans="1:14" ht="15.5" x14ac:dyDescent="0.35">
      <c r="A22" s="242"/>
      <c r="B22" s="242"/>
      <c r="C22" s="242"/>
      <c r="D22" s="242"/>
      <c r="E22" s="242"/>
      <c r="F22" s="242"/>
      <c r="G22" s="242"/>
      <c r="H22" s="242"/>
      <c r="I22" s="269"/>
      <c r="J22" s="242"/>
      <c r="K22" s="242"/>
      <c r="L22" s="242"/>
      <c r="M22" s="242"/>
      <c r="N22" s="242"/>
    </row>
    <row r="23" spans="1:14" ht="15.5" x14ac:dyDescent="0.35">
      <c r="A23" s="242"/>
      <c r="B23" s="242"/>
      <c r="C23" s="242"/>
      <c r="D23" s="242"/>
      <c r="E23" s="242"/>
      <c r="F23" s="242"/>
      <c r="G23" s="242"/>
      <c r="H23" s="242"/>
      <c r="I23" s="270"/>
      <c r="J23" s="242"/>
      <c r="K23" s="242"/>
      <c r="L23" s="242"/>
      <c r="M23" s="242"/>
      <c r="N23" s="242"/>
    </row>
    <row r="24" spans="1:14" ht="15.5" x14ac:dyDescent="0.35">
      <c r="A24" s="305" t="s">
        <v>345</v>
      </c>
      <c r="B24" s="305"/>
      <c r="C24" s="305"/>
      <c r="D24" s="305"/>
      <c r="E24" s="305"/>
      <c r="F24" s="305"/>
      <c r="G24" s="305"/>
      <c r="H24" s="305"/>
      <c r="I24" s="305"/>
      <c r="J24" s="305"/>
      <c r="K24" s="305"/>
      <c r="L24" s="242"/>
      <c r="M24" s="242"/>
      <c r="N24" s="242"/>
    </row>
    <row r="25" spans="1:14" ht="15.5" x14ac:dyDescent="0.35">
      <c r="A25" s="242"/>
      <c r="B25" s="242"/>
      <c r="C25" s="242"/>
      <c r="D25" s="242"/>
      <c r="E25" s="242"/>
      <c r="F25" s="242"/>
      <c r="G25" s="242"/>
      <c r="H25" s="242"/>
      <c r="I25" s="242"/>
      <c r="J25" s="242"/>
      <c r="K25" s="242"/>
      <c r="L25" s="242"/>
      <c r="M25" s="242"/>
      <c r="N25" s="242"/>
    </row>
    <row r="26" spans="1:14" ht="15.5" x14ac:dyDescent="0.35">
      <c r="A26" s="242"/>
      <c r="B26" s="242"/>
      <c r="C26" s="271" t="s">
        <v>346</v>
      </c>
      <c r="D26" s="272"/>
      <c r="E26" s="272"/>
      <c r="F26" s="272"/>
      <c r="G26" s="272"/>
      <c r="H26" s="273"/>
      <c r="I26" s="273"/>
      <c r="J26" s="273"/>
      <c r="K26" s="273"/>
      <c r="L26" s="242"/>
      <c r="M26" s="242"/>
      <c r="N26" s="242"/>
    </row>
    <row r="27" spans="1:14" ht="15.5" x14ac:dyDescent="0.35">
      <c r="A27" s="242"/>
      <c r="B27" s="242"/>
      <c r="C27" s="242"/>
      <c r="D27" s="248"/>
      <c r="E27" s="248"/>
      <c r="F27" s="248"/>
      <c r="G27" s="248"/>
      <c r="H27" s="274"/>
      <c r="I27" s="274"/>
      <c r="J27" s="274"/>
      <c r="K27" s="274"/>
      <c r="L27" s="242"/>
      <c r="M27" s="242"/>
      <c r="N27" s="242"/>
    </row>
    <row r="28" spans="1:14" ht="15.5" x14ac:dyDescent="0.35">
      <c r="A28" s="242"/>
      <c r="B28" s="242"/>
      <c r="C28" s="242"/>
      <c r="D28" s="242" t="s">
        <v>347</v>
      </c>
      <c r="E28" s="242"/>
      <c r="F28" s="242"/>
      <c r="G28" s="242"/>
      <c r="H28" s="275"/>
      <c r="I28" s="275"/>
      <c r="J28" s="275"/>
      <c r="K28" s="275">
        <f>I21/H21</f>
        <v>0.1285317378191709</v>
      </c>
      <c r="L28" s="242"/>
      <c r="M28" s="242"/>
      <c r="N28" s="242"/>
    </row>
    <row r="29" spans="1:14" ht="15.5" x14ac:dyDescent="0.35">
      <c r="A29" s="242"/>
      <c r="B29" s="242"/>
      <c r="C29" s="242"/>
      <c r="D29" s="242" t="s">
        <v>348</v>
      </c>
      <c r="E29" s="242"/>
      <c r="F29" s="242"/>
      <c r="G29" s="242"/>
      <c r="H29" s="276"/>
      <c r="I29" s="276"/>
      <c r="J29" s="276"/>
      <c r="K29" s="276">
        <f>1-K28</f>
        <v>0.87146826218082907</v>
      </c>
      <c r="L29" s="242"/>
      <c r="M29" s="242"/>
      <c r="N29" s="242"/>
    </row>
    <row r="30" spans="1:14" ht="15.5" x14ac:dyDescent="0.35">
      <c r="A30" s="242"/>
      <c r="B30" s="242"/>
      <c r="C30" s="277" t="s">
        <v>349</v>
      </c>
      <c r="D30" s="272"/>
      <c r="E30" s="272"/>
      <c r="F30" s="272"/>
      <c r="G30" s="272"/>
      <c r="H30" s="272"/>
      <c r="I30" s="272"/>
      <c r="J30" s="272"/>
      <c r="K30" s="272"/>
      <c r="L30" s="242"/>
      <c r="M30" s="242"/>
      <c r="N30" s="242"/>
    </row>
    <row r="31" spans="1:14" ht="15.5" x14ac:dyDescent="0.35">
      <c r="A31" s="242"/>
      <c r="B31" s="242"/>
      <c r="C31" s="242"/>
      <c r="D31" s="242" t="s">
        <v>266</v>
      </c>
      <c r="E31" s="242"/>
      <c r="F31" s="242"/>
      <c r="G31" s="242"/>
      <c r="H31" s="278"/>
      <c r="I31" s="278"/>
      <c r="J31" s="278"/>
      <c r="K31" s="278">
        <f>H21</f>
        <v>4403.8928408199999</v>
      </c>
      <c r="L31" s="242"/>
      <c r="M31" s="242"/>
      <c r="N31" s="242"/>
    </row>
    <row r="32" spans="1:14" ht="15.5" x14ac:dyDescent="0.35">
      <c r="A32" s="242"/>
      <c r="B32" s="242"/>
      <c r="C32" s="242"/>
      <c r="D32" s="242" t="s">
        <v>350</v>
      </c>
      <c r="E32" s="242"/>
      <c r="F32" s="242"/>
      <c r="G32" s="242"/>
      <c r="H32" s="279"/>
      <c r="I32" s="279"/>
      <c r="J32" s="279"/>
      <c r="K32" s="279">
        <f>I21</f>
        <v>566.04</v>
      </c>
      <c r="L32" s="242"/>
      <c r="M32" s="242"/>
      <c r="N32" s="242"/>
    </row>
    <row r="33" spans="1:14" ht="15.5" x14ac:dyDescent="0.35">
      <c r="A33" s="242"/>
      <c r="B33" s="242"/>
      <c r="C33" s="242"/>
      <c r="D33" s="242" t="s">
        <v>351</v>
      </c>
      <c r="E33" s="242"/>
      <c r="F33" s="242"/>
      <c r="G33" s="242"/>
      <c r="H33" s="280"/>
      <c r="I33" s="280"/>
      <c r="J33" s="280"/>
      <c r="K33" s="280">
        <f>K32/K31</f>
        <v>0.1285317378191709</v>
      </c>
      <c r="L33" s="242"/>
      <c r="M33" s="242"/>
      <c r="N33" s="242"/>
    </row>
    <row r="34" spans="1:14" ht="15.5" x14ac:dyDescent="0.35">
      <c r="A34" s="242"/>
      <c r="B34" s="242"/>
      <c r="C34" s="242"/>
      <c r="D34" s="242"/>
      <c r="E34" s="242"/>
      <c r="F34" s="242"/>
      <c r="G34" s="242"/>
      <c r="H34" s="242"/>
      <c r="I34" s="242"/>
      <c r="J34" s="242"/>
      <c r="K34" s="242"/>
      <c r="L34" s="242"/>
      <c r="M34" s="242"/>
      <c r="N34" s="242"/>
    </row>
    <row r="35" spans="1:14" ht="15.5" x14ac:dyDescent="0.35">
      <c r="A35" s="242"/>
      <c r="B35" s="242"/>
      <c r="C35" s="277" t="s">
        <v>352</v>
      </c>
      <c r="D35" s="272"/>
      <c r="E35" s="272"/>
      <c r="F35" s="272"/>
      <c r="G35" s="272"/>
      <c r="H35" s="272"/>
      <c r="I35" s="272"/>
      <c r="J35" s="272"/>
      <c r="K35" s="272"/>
      <c r="L35" s="242"/>
      <c r="M35" s="242"/>
      <c r="N35" s="242"/>
    </row>
    <row r="36" spans="1:14" ht="15.5" x14ac:dyDescent="0.35">
      <c r="A36" s="242"/>
      <c r="B36" s="262"/>
      <c r="C36" s="242"/>
      <c r="D36" s="242" t="s">
        <v>353</v>
      </c>
      <c r="E36" s="242"/>
      <c r="F36" s="242"/>
      <c r="G36" s="242"/>
      <c r="H36" s="281"/>
      <c r="I36" s="281"/>
      <c r="J36" s="281"/>
      <c r="K36" s="281">
        <f>K33</f>
        <v>0.1285317378191709</v>
      </c>
      <c r="L36" s="242"/>
      <c r="M36" s="242"/>
      <c r="N36" s="242"/>
    </row>
    <row r="37" spans="1:14" ht="15.5" x14ac:dyDescent="0.35">
      <c r="A37" s="242"/>
      <c r="B37" s="262"/>
      <c r="C37" s="242"/>
      <c r="D37" s="248" t="s">
        <v>245</v>
      </c>
      <c r="E37" s="248"/>
      <c r="F37" s="248"/>
      <c r="G37" s="248"/>
      <c r="H37" s="282"/>
      <c r="I37" s="282"/>
      <c r="J37" s="282"/>
      <c r="K37" s="282">
        <f>L21</f>
        <v>0.34705907642627509</v>
      </c>
      <c r="L37" s="242"/>
      <c r="M37" s="242"/>
      <c r="N37" s="242"/>
    </row>
    <row r="38" spans="1:14" ht="15.5" x14ac:dyDescent="0.35">
      <c r="A38" s="242"/>
      <c r="B38" s="262"/>
      <c r="C38" s="242"/>
      <c r="D38" s="283" t="s">
        <v>354</v>
      </c>
      <c r="E38" s="283"/>
      <c r="F38" s="283"/>
      <c r="G38" s="283"/>
      <c r="H38" s="284"/>
      <c r="I38" s="284"/>
      <c r="J38" s="284"/>
      <c r="K38" s="284">
        <f>K36*(1-K37)</f>
        <v>8.3923631600185317E-2</v>
      </c>
      <c r="L38" s="242"/>
      <c r="M38" s="242"/>
      <c r="N38" s="242"/>
    </row>
    <row r="39" spans="1:14" ht="15.5" x14ac:dyDescent="0.35">
      <c r="A39" s="242"/>
      <c r="B39" s="242"/>
      <c r="C39" s="242"/>
      <c r="D39" s="242"/>
      <c r="E39" s="242"/>
      <c r="F39" s="242"/>
      <c r="G39" s="242"/>
      <c r="H39" s="242"/>
      <c r="I39" s="242"/>
      <c r="J39" s="242"/>
      <c r="K39" s="242"/>
      <c r="L39" s="242"/>
      <c r="M39" s="242"/>
      <c r="N39" s="242"/>
    </row>
    <row r="40" spans="1:14" ht="15.5" x14ac:dyDescent="0.35">
      <c r="A40" s="242"/>
      <c r="B40" s="242"/>
      <c r="C40" s="277" t="s">
        <v>355</v>
      </c>
      <c r="D40" s="272"/>
      <c r="E40" s="272"/>
      <c r="F40" s="272"/>
      <c r="G40" s="272"/>
      <c r="H40" s="272"/>
      <c r="I40" s="272"/>
      <c r="J40" s="272"/>
      <c r="K40" s="272"/>
      <c r="L40" s="242"/>
      <c r="M40" s="242"/>
      <c r="N40" s="242"/>
    </row>
    <row r="41" spans="1:14" ht="15.5" x14ac:dyDescent="0.35">
      <c r="A41" s="242"/>
      <c r="B41" s="242"/>
      <c r="C41" s="242"/>
      <c r="D41" s="242" t="s">
        <v>356</v>
      </c>
      <c r="E41" s="242"/>
      <c r="F41" s="242"/>
      <c r="G41" s="242"/>
      <c r="H41" s="285"/>
      <c r="I41" s="285"/>
      <c r="J41" s="285"/>
      <c r="K41" s="285">
        <v>6.6000000000000003E-2</v>
      </c>
      <c r="L41" s="242"/>
      <c r="M41" s="242"/>
      <c r="N41" s="242"/>
    </row>
    <row r="42" spans="1:14" ht="15.5" x14ac:dyDescent="0.35">
      <c r="A42" s="242"/>
      <c r="B42" s="242"/>
      <c r="C42" s="242"/>
      <c r="D42" s="242" t="s">
        <v>326</v>
      </c>
      <c r="E42" s="242"/>
      <c r="F42" s="242"/>
      <c r="G42" s="242"/>
      <c r="H42" s="281"/>
      <c r="I42" s="281"/>
      <c r="J42" s="281"/>
      <c r="K42" s="281">
        <f>'Market Data'!G9</f>
        <v>0.11076114273968285</v>
      </c>
    </row>
    <row r="43" spans="1:14" ht="15.5" x14ac:dyDescent="0.35">
      <c r="A43" s="242"/>
      <c r="B43" s="242"/>
      <c r="C43" s="242"/>
      <c r="D43" s="242" t="s">
        <v>357</v>
      </c>
      <c r="E43" s="242"/>
      <c r="F43" s="242"/>
      <c r="G43" s="242"/>
      <c r="H43" s="275"/>
      <c r="I43" s="275"/>
      <c r="J43" s="275"/>
      <c r="K43" s="275">
        <f>K42-K41</f>
        <v>4.4761142739682847E-2</v>
      </c>
    </row>
    <row r="44" spans="1:14" ht="15.5" x14ac:dyDescent="0.35">
      <c r="A44" s="242"/>
      <c r="B44" s="242"/>
      <c r="C44" s="242"/>
      <c r="D44" s="248" t="s">
        <v>358</v>
      </c>
      <c r="E44" s="248"/>
      <c r="F44" s="248"/>
      <c r="G44" s="248"/>
      <c r="H44" s="286"/>
      <c r="I44" s="286"/>
      <c r="J44" s="286"/>
      <c r="K44" s="286">
        <f>N21</f>
        <v>1.2244589126884031</v>
      </c>
    </row>
    <row r="45" spans="1:14" ht="15.5" x14ac:dyDescent="0.35">
      <c r="A45" s="242"/>
      <c r="B45" s="242"/>
      <c r="C45" s="242"/>
      <c r="D45" s="283" t="s">
        <v>355</v>
      </c>
      <c r="E45" s="283"/>
      <c r="F45" s="283"/>
      <c r="G45" s="283"/>
      <c r="H45" s="287"/>
      <c r="I45" s="287"/>
      <c r="J45" s="287"/>
      <c r="K45" s="287">
        <f>K41+K44*K43</f>
        <v>0.12080818016972247</v>
      </c>
    </row>
    <row r="46" spans="1:14" ht="15.5" x14ac:dyDescent="0.35">
      <c r="A46" s="242"/>
      <c r="B46" s="242"/>
      <c r="C46" s="242"/>
      <c r="D46" s="242"/>
      <c r="E46" s="242"/>
      <c r="F46" s="242"/>
      <c r="G46" s="242"/>
      <c r="H46" s="242"/>
      <c r="I46" s="242"/>
      <c r="J46" s="242"/>
      <c r="K46" s="242"/>
    </row>
    <row r="47" spans="1:14" ht="16" thickBot="1" x14ac:dyDescent="0.4">
      <c r="A47" s="242"/>
      <c r="B47" s="242"/>
      <c r="C47" s="242"/>
      <c r="D47" s="288" t="s">
        <v>359</v>
      </c>
      <c r="E47" s="288"/>
      <c r="F47" s="288"/>
      <c r="G47" s="288"/>
      <c r="H47" s="289"/>
      <c r="I47" s="289"/>
      <c r="J47" s="289"/>
      <c r="K47" s="289">
        <f>(K29*K45)+(K28*K38)</f>
        <v>0.11606734504340425</v>
      </c>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1"/>
  <sheetViews>
    <sheetView showGridLines="0" workbookViewId="0">
      <selection activeCell="K11" sqref="K11"/>
    </sheetView>
  </sheetViews>
  <sheetFormatPr defaultColWidth="12" defaultRowHeight="14.5" x14ac:dyDescent="0.35"/>
  <cols>
    <col min="1" max="1" width="3.81640625" customWidth="1"/>
    <col min="2" max="2" width="12" style="330"/>
    <col min="3" max="6" width="12" style="329"/>
  </cols>
  <sheetData>
    <row r="1" spans="1:14" ht="28.5" x14ac:dyDescent="0.65">
      <c r="A1" s="160"/>
      <c r="B1" s="349"/>
      <c r="C1" s="344" t="str">
        <f>Model!A1</f>
        <v>Neogen Chemicals Limited</v>
      </c>
      <c r="D1" s="324"/>
      <c r="E1" s="324"/>
      <c r="F1" s="324"/>
      <c r="G1" s="299"/>
      <c r="H1" s="299"/>
      <c r="I1" s="299"/>
      <c r="J1" s="299"/>
    </row>
    <row r="2" spans="1:14" ht="18" x14ac:dyDescent="0.35">
      <c r="A2" s="160"/>
      <c r="B2" s="325" t="s">
        <v>386</v>
      </c>
      <c r="C2" s="345"/>
      <c r="D2" s="326"/>
      <c r="E2" s="326"/>
      <c r="F2" s="326"/>
      <c r="G2" s="299"/>
      <c r="H2" s="299"/>
      <c r="I2" s="299"/>
      <c r="J2" s="299"/>
    </row>
    <row r="3" spans="1:14" x14ac:dyDescent="0.35">
      <c r="A3" s="232"/>
      <c r="B3" s="327"/>
      <c r="C3" s="328"/>
      <c r="D3" s="328"/>
      <c r="E3" s="328"/>
      <c r="F3" s="328"/>
      <c r="G3" s="232"/>
      <c r="H3" s="232"/>
      <c r="I3" s="232"/>
      <c r="J3" s="232"/>
    </row>
    <row r="4" spans="1:14" x14ac:dyDescent="0.35">
      <c r="B4" s="323"/>
      <c r="C4" s="240" t="s">
        <v>327</v>
      </c>
      <c r="D4" s="240" t="s">
        <v>388</v>
      </c>
      <c r="E4" s="240" t="s">
        <v>360</v>
      </c>
      <c r="F4" s="240" t="s">
        <v>388</v>
      </c>
    </row>
    <row r="5" spans="1:14" x14ac:dyDescent="0.35">
      <c r="B5" s="323" t="s">
        <v>253</v>
      </c>
      <c r="C5" s="240" t="s">
        <v>328</v>
      </c>
      <c r="D5" s="240" t="s">
        <v>387</v>
      </c>
      <c r="E5" s="240" t="s">
        <v>328</v>
      </c>
      <c r="F5" s="240" t="s">
        <v>387</v>
      </c>
      <c r="M5" s="350"/>
      <c r="N5" s="351"/>
    </row>
    <row r="6" spans="1:14" x14ac:dyDescent="0.35">
      <c r="B6" s="517">
        <v>46143</v>
      </c>
      <c r="C6" s="119">
        <v>24176.15</v>
      </c>
      <c r="D6" s="346" t="s">
        <v>45</v>
      </c>
      <c r="E6" s="119">
        <v>1744.7</v>
      </c>
      <c r="F6" s="346" t="s">
        <v>45</v>
      </c>
      <c r="G6" s="322"/>
      <c r="H6" s="119"/>
      <c r="J6" s="14" t="s">
        <v>361</v>
      </c>
      <c r="K6" s="297">
        <f>MIN(E54:E81)</f>
        <v>351.1</v>
      </c>
      <c r="M6" s="234"/>
      <c r="N6" s="331"/>
    </row>
    <row r="7" spans="1:14" x14ac:dyDescent="0.35">
      <c r="B7" s="517">
        <v>46113</v>
      </c>
      <c r="C7" s="119">
        <v>23997.55</v>
      </c>
      <c r="D7" s="347">
        <f t="shared" ref="D7:D38" si="0">C7/C6-1</f>
        <v>-7.3874458919225283E-3</v>
      </c>
      <c r="E7" s="119">
        <v>1631.95</v>
      </c>
      <c r="F7" s="347">
        <f t="shared" ref="F7:F38" si="1">E7/E6-1</f>
        <v>-6.4624290709004439E-2</v>
      </c>
      <c r="G7" s="322"/>
      <c r="H7" s="119"/>
      <c r="J7" s="14" t="s">
        <v>362</v>
      </c>
      <c r="K7" s="297">
        <f>MAX(E54:E77)</f>
        <v>1744.85</v>
      </c>
      <c r="M7" s="234"/>
      <c r="N7" s="331"/>
    </row>
    <row r="8" spans="1:14" x14ac:dyDescent="0.35">
      <c r="B8" s="517">
        <v>46082</v>
      </c>
      <c r="C8" s="119">
        <v>22331.4</v>
      </c>
      <c r="D8" s="347">
        <f t="shared" si="0"/>
        <v>-6.9430004312940219E-2</v>
      </c>
      <c r="E8" s="119">
        <v>1112.0999999999999</v>
      </c>
      <c r="F8" s="347">
        <f t="shared" si="1"/>
        <v>-0.31854529856919644</v>
      </c>
      <c r="G8" s="322"/>
      <c r="H8" s="119"/>
      <c r="M8" s="234"/>
      <c r="N8" s="331"/>
    </row>
    <row r="9" spans="1:14" x14ac:dyDescent="0.35">
      <c r="B9" s="517">
        <v>46054</v>
      </c>
      <c r="C9" s="119">
        <v>25178.65</v>
      </c>
      <c r="D9" s="347">
        <f t="shared" si="0"/>
        <v>0.12749984327001451</v>
      </c>
      <c r="E9" s="119">
        <v>1459.2</v>
      </c>
      <c r="F9" s="347">
        <f t="shared" si="1"/>
        <v>0.31211222012408979</v>
      </c>
      <c r="G9" s="322"/>
      <c r="H9" s="119"/>
      <c r="M9" s="234"/>
      <c r="N9" s="331"/>
    </row>
    <row r="10" spans="1:14" ht="15.5" x14ac:dyDescent="0.35">
      <c r="B10" s="517">
        <v>46023</v>
      </c>
      <c r="C10" s="119">
        <v>25320.65</v>
      </c>
      <c r="D10" s="347">
        <f t="shared" si="0"/>
        <v>5.6396987129969656E-3</v>
      </c>
      <c r="E10" s="119">
        <v>1215.6500000000001</v>
      </c>
      <c r="F10" s="347">
        <f t="shared" si="1"/>
        <v>-0.16690652412280693</v>
      </c>
      <c r="G10" s="322"/>
      <c r="H10" s="119"/>
      <c r="J10" s="1" t="s">
        <v>344</v>
      </c>
      <c r="K10" s="298">
        <f>SLOPE(F7:F89,D7:D89)</f>
        <v>1.1939367860241412</v>
      </c>
      <c r="M10" s="234"/>
      <c r="N10" s="331"/>
    </row>
    <row r="11" spans="1:14" x14ac:dyDescent="0.35">
      <c r="B11" s="517">
        <v>45992</v>
      </c>
      <c r="C11" s="119">
        <v>26129.599999999999</v>
      </c>
      <c r="D11" s="347">
        <f t="shared" si="0"/>
        <v>3.1948231976667074E-2</v>
      </c>
      <c r="E11" s="119">
        <v>1184</v>
      </c>
      <c r="F11" s="347">
        <f t="shared" si="1"/>
        <v>-2.6035454283716564E-2</v>
      </c>
      <c r="G11" s="322"/>
      <c r="H11" s="119"/>
      <c r="M11" s="234"/>
      <c r="N11" s="331"/>
    </row>
    <row r="12" spans="1:14" x14ac:dyDescent="0.35">
      <c r="B12" s="517">
        <v>45962</v>
      </c>
      <c r="C12" s="119">
        <v>26202.95</v>
      </c>
      <c r="D12" s="347">
        <f t="shared" si="0"/>
        <v>2.8071612271141078E-3</v>
      </c>
      <c r="E12" s="119">
        <v>1125.05</v>
      </c>
      <c r="F12" s="347">
        <f t="shared" si="1"/>
        <v>-4.978885135135136E-2</v>
      </c>
      <c r="G12" s="322"/>
      <c r="H12" s="119"/>
      <c r="M12" s="234"/>
      <c r="N12" s="331"/>
    </row>
    <row r="13" spans="1:14" x14ac:dyDescent="0.35">
      <c r="B13" s="517">
        <v>45931</v>
      </c>
      <c r="C13" s="119">
        <v>25722.1</v>
      </c>
      <c r="D13" s="347">
        <f t="shared" si="0"/>
        <v>-1.835098719800643E-2</v>
      </c>
      <c r="E13" s="119">
        <v>1441.55</v>
      </c>
      <c r="F13" s="347">
        <f t="shared" si="1"/>
        <v>0.28132083018532517</v>
      </c>
      <c r="G13" s="322"/>
      <c r="H13" s="119"/>
      <c r="M13" s="234"/>
      <c r="N13" s="331"/>
    </row>
    <row r="14" spans="1:14" x14ac:dyDescent="0.35">
      <c r="B14" s="517">
        <v>45901</v>
      </c>
      <c r="C14" s="119">
        <v>24611.1</v>
      </c>
      <c r="D14" s="347">
        <f t="shared" si="0"/>
        <v>-4.3192429856038217E-2</v>
      </c>
      <c r="E14" s="119">
        <v>1502.35</v>
      </c>
      <c r="F14" s="347">
        <f t="shared" si="1"/>
        <v>4.2176823557975807E-2</v>
      </c>
      <c r="G14" s="322"/>
      <c r="H14" s="119"/>
      <c r="M14" s="234"/>
      <c r="N14" s="331"/>
    </row>
    <row r="15" spans="1:14" x14ac:dyDescent="0.35">
      <c r="B15" s="517">
        <v>45870</v>
      </c>
      <c r="C15" s="119">
        <v>24426.85</v>
      </c>
      <c r="D15" s="347">
        <f t="shared" si="0"/>
        <v>-7.4864593618326758E-3</v>
      </c>
      <c r="E15" s="119">
        <v>1404.95</v>
      </c>
      <c r="F15" s="347">
        <f t="shared" si="1"/>
        <v>-6.483176357040632E-2</v>
      </c>
      <c r="G15" s="322"/>
      <c r="H15" s="119"/>
      <c r="M15" s="234"/>
      <c r="N15" s="331"/>
    </row>
    <row r="16" spans="1:14" x14ac:dyDescent="0.35">
      <c r="B16" s="517">
        <v>45839</v>
      </c>
      <c r="C16" s="119">
        <v>24768.35</v>
      </c>
      <c r="D16" s="347">
        <f t="shared" si="0"/>
        <v>1.3980517340549392E-2</v>
      </c>
      <c r="E16" s="119">
        <v>1542.25</v>
      </c>
      <c r="F16" s="347">
        <f t="shared" si="1"/>
        <v>9.7725897718780042E-2</v>
      </c>
      <c r="G16" s="322"/>
      <c r="H16" s="119"/>
      <c r="M16" s="234"/>
      <c r="N16" s="331"/>
    </row>
    <row r="17" spans="2:14" x14ac:dyDescent="0.35">
      <c r="B17" s="517">
        <v>45809</v>
      </c>
      <c r="C17" s="119">
        <v>25517.05</v>
      </c>
      <c r="D17" s="347">
        <f t="shared" si="0"/>
        <v>3.0228093514505394E-2</v>
      </c>
      <c r="E17" s="119">
        <v>1655.45</v>
      </c>
      <c r="F17" s="347">
        <f t="shared" si="1"/>
        <v>7.3399254336197206E-2</v>
      </c>
      <c r="G17" s="322"/>
      <c r="H17" s="119"/>
      <c r="M17" s="234"/>
      <c r="N17" s="331"/>
    </row>
    <row r="18" spans="2:14" x14ac:dyDescent="0.35">
      <c r="B18" s="517">
        <v>45778</v>
      </c>
      <c r="C18" s="119">
        <v>24750.7</v>
      </c>
      <c r="D18" s="347">
        <f t="shared" si="0"/>
        <v>-3.0032860381587922E-2</v>
      </c>
      <c r="E18" s="119">
        <v>1681.9</v>
      </c>
      <c r="F18" s="347">
        <f t="shared" si="1"/>
        <v>1.5977528768612803E-2</v>
      </c>
      <c r="G18" s="322"/>
      <c r="H18" s="119"/>
      <c r="M18" s="234"/>
      <c r="N18" s="331"/>
    </row>
    <row r="19" spans="2:14" x14ac:dyDescent="0.35">
      <c r="B19" s="517">
        <v>45748</v>
      </c>
      <c r="C19" s="119">
        <v>24334.2</v>
      </c>
      <c r="D19" s="347">
        <f t="shared" si="0"/>
        <v>-1.682780689031016E-2</v>
      </c>
      <c r="E19" s="119">
        <v>1522</v>
      </c>
      <c r="F19" s="347">
        <f t="shared" si="1"/>
        <v>-9.5071050597538509E-2</v>
      </c>
      <c r="G19" s="322"/>
      <c r="H19" s="119"/>
      <c r="M19" s="234"/>
      <c r="N19" s="331"/>
    </row>
    <row r="20" spans="2:14" x14ac:dyDescent="0.35">
      <c r="B20" s="517">
        <v>45717</v>
      </c>
      <c r="C20" s="119">
        <v>23519.35</v>
      </c>
      <c r="D20" s="347">
        <f t="shared" si="0"/>
        <v>-3.3485793656664375E-2</v>
      </c>
      <c r="E20" s="119">
        <v>1545.1</v>
      </c>
      <c r="F20" s="347">
        <f t="shared" si="1"/>
        <v>1.5177398160315381E-2</v>
      </c>
      <c r="G20" s="322"/>
      <c r="H20" s="119"/>
      <c r="M20" s="234"/>
      <c r="N20" s="331"/>
    </row>
    <row r="21" spans="2:14" x14ac:dyDescent="0.35">
      <c r="B21" s="517">
        <v>45689</v>
      </c>
      <c r="C21" s="119">
        <v>22124.7</v>
      </c>
      <c r="D21" s="347">
        <f t="shared" si="0"/>
        <v>-5.9297982299680863E-2</v>
      </c>
      <c r="E21" s="119">
        <v>1667.85</v>
      </c>
      <c r="F21" s="347">
        <f t="shared" si="1"/>
        <v>7.9444696136172333E-2</v>
      </c>
      <c r="G21" s="322"/>
      <c r="H21" s="119"/>
      <c r="M21" s="234"/>
      <c r="N21" s="331"/>
    </row>
    <row r="22" spans="2:14" x14ac:dyDescent="0.35">
      <c r="B22" s="517">
        <v>45658</v>
      </c>
      <c r="C22" s="119">
        <v>23508.400000000001</v>
      </c>
      <c r="D22" s="347">
        <f t="shared" si="0"/>
        <v>6.2540961007380824E-2</v>
      </c>
      <c r="E22" s="119">
        <v>1902.1</v>
      </c>
      <c r="F22" s="347">
        <f t="shared" si="1"/>
        <v>0.14045028030098639</v>
      </c>
      <c r="G22" s="322"/>
      <c r="H22" s="119"/>
      <c r="M22" s="234"/>
      <c r="N22" s="331"/>
    </row>
    <row r="23" spans="2:14" x14ac:dyDescent="0.35">
      <c r="B23" s="517">
        <v>45627</v>
      </c>
      <c r="C23" s="119">
        <v>23644.799999999999</v>
      </c>
      <c r="D23" s="347">
        <f t="shared" si="0"/>
        <v>5.8021813479436357E-3</v>
      </c>
      <c r="E23" s="119">
        <v>2228.0500000000002</v>
      </c>
      <c r="F23" s="347">
        <f t="shared" si="1"/>
        <v>0.17136323011408461</v>
      </c>
      <c r="G23" s="322"/>
      <c r="H23" s="119"/>
      <c r="M23" s="234"/>
      <c r="N23" s="331"/>
    </row>
    <row r="24" spans="2:14" x14ac:dyDescent="0.35">
      <c r="B24" s="517">
        <v>45597</v>
      </c>
      <c r="C24" s="119">
        <v>24131.1</v>
      </c>
      <c r="D24" s="347">
        <f t="shared" si="0"/>
        <v>2.0566889971579405E-2</v>
      </c>
      <c r="E24" s="119">
        <v>2093.1999999999998</v>
      </c>
      <c r="F24" s="347">
        <f t="shared" si="1"/>
        <v>-6.0523776396400608E-2</v>
      </c>
      <c r="G24" s="322"/>
      <c r="H24" s="119"/>
      <c r="M24" s="234"/>
      <c r="N24" s="331"/>
    </row>
    <row r="25" spans="2:14" x14ac:dyDescent="0.35">
      <c r="B25" s="517">
        <v>45566</v>
      </c>
      <c r="C25" s="119">
        <v>24205.35</v>
      </c>
      <c r="D25" s="347">
        <f t="shared" si="0"/>
        <v>3.0769422032148608E-3</v>
      </c>
      <c r="E25" s="119">
        <v>2172.5500000000002</v>
      </c>
      <c r="F25" s="347">
        <f t="shared" si="1"/>
        <v>3.7908465507357381E-2</v>
      </c>
      <c r="G25" s="322"/>
      <c r="H25" s="119"/>
      <c r="M25" s="234"/>
      <c r="N25" s="331"/>
    </row>
    <row r="26" spans="2:14" x14ac:dyDescent="0.35">
      <c r="B26" s="517">
        <v>45536</v>
      </c>
      <c r="C26" s="119">
        <v>25810.85</v>
      </c>
      <c r="D26" s="347">
        <f t="shared" si="0"/>
        <v>6.6328311716211452E-2</v>
      </c>
      <c r="E26" s="119">
        <v>2072.1999999999998</v>
      </c>
      <c r="F26" s="347">
        <f t="shared" si="1"/>
        <v>-4.6189961105613353E-2</v>
      </c>
      <c r="G26" s="322"/>
      <c r="H26" s="119"/>
      <c r="M26" s="234"/>
      <c r="N26" s="331"/>
    </row>
    <row r="27" spans="2:14" x14ac:dyDescent="0.35">
      <c r="B27" s="517">
        <v>45505</v>
      </c>
      <c r="C27" s="119">
        <v>25235.9</v>
      </c>
      <c r="D27" s="347">
        <f t="shared" si="0"/>
        <v>-2.2275515916755806E-2</v>
      </c>
      <c r="E27" s="119">
        <v>1489.55</v>
      </c>
      <c r="F27" s="347">
        <f t="shared" si="1"/>
        <v>-0.28117459704661707</v>
      </c>
      <c r="G27" s="322"/>
      <c r="H27" s="119"/>
      <c r="M27" s="234"/>
      <c r="N27" s="331"/>
    </row>
    <row r="28" spans="2:14" x14ac:dyDescent="0.35">
      <c r="B28" s="517">
        <v>45474</v>
      </c>
      <c r="C28" s="119">
        <v>24951.15</v>
      </c>
      <c r="D28" s="347">
        <f t="shared" si="0"/>
        <v>-1.1283528623904804E-2</v>
      </c>
      <c r="E28" s="119">
        <v>1666.9</v>
      </c>
      <c r="F28" s="347">
        <f t="shared" si="1"/>
        <v>0.11906280420261162</v>
      </c>
      <c r="G28" s="322"/>
      <c r="H28" s="119"/>
      <c r="M28" s="234"/>
      <c r="N28" s="331"/>
    </row>
    <row r="29" spans="2:14" x14ac:dyDescent="0.35">
      <c r="B29" s="517">
        <v>45444</v>
      </c>
      <c r="C29" s="119">
        <v>24010.6</v>
      </c>
      <c r="D29" s="347">
        <f t="shared" si="0"/>
        <v>-3.7695657314392395E-2</v>
      </c>
      <c r="E29" s="119">
        <v>1587.95</v>
      </c>
      <c r="F29" s="347">
        <f t="shared" si="1"/>
        <v>-4.7363369128322064E-2</v>
      </c>
      <c r="G29" s="322"/>
      <c r="H29" s="119"/>
      <c r="M29" s="234"/>
      <c r="N29" s="331"/>
    </row>
    <row r="30" spans="2:14" x14ac:dyDescent="0.35">
      <c r="B30" s="517">
        <v>45413</v>
      </c>
      <c r="C30" s="119">
        <v>22530.7</v>
      </c>
      <c r="D30" s="347">
        <f t="shared" si="0"/>
        <v>-6.1635277752326023E-2</v>
      </c>
      <c r="E30" s="119">
        <v>1484.9</v>
      </c>
      <c r="F30" s="347">
        <f t="shared" si="1"/>
        <v>-6.4894990396422991E-2</v>
      </c>
      <c r="G30" s="322"/>
      <c r="H30" s="119"/>
      <c r="M30" s="234"/>
      <c r="N30" s="331"/>
    </row>
    <row r="31" spans="2:14" x14ac:dyDescent="0.35">
      <c r="B31" s="517">
        <v>45383</v>
      </c>
      <c r="C31" s="119">
        <v>22604.85</v>
      </c>
      <c r="D31" s="347">
        <f t="shared" si="0"/>
        <v>3.2910650800905827E-3</v>
      </c>
      <c r="E31" s="119">
        <v>1542.2</v>
      </c>
      <c r="F31" s="347">
        <f t="shared" si="1"/>
        <v>3.8588457135160681E-2</v>
      </c>
      <c r="G31" s="322"/>
      <c r="H31" s="119"/>
      <c r="M31" s="234"/>
      <c r="N31" s="331"/>
    </row>
    <row r="32" spans="2:14" x14ac:dyDescent="0.35">
      <c r="B32" s="517">
        <v>45352</v>
      </c>
      <c r="C32" s="119">
        <v>22326.9</v>
      </c>
      <c r="D32" s="347">
        <f t="shared" si="0"/>
        <v>-1.2296033815751839E-2</v>
      </c>
      <c r="E32" s="119">
        <v>1192.8</v>
      </c>
      <c r="F32" s="347">
        <f t="shared" si="1"/>
        <v>-0.22655946051095843</v>
      </c>
      <c r="G32" s="322"/>
      <c r="H32" s="119"/>
      <c r="M32" s="234"/>
      <c r="N32" s="331"/>
    </row>
    <row r="33" spans="2:14" x14ac:dyDescent="0.35">
      <c r="B33" s="517">
        <v>45323</v>
      </c>
      <c r="C33" s="119">
        <v>21982.799999999999</v>
      </c>
      <c r="D33" s="347">
        <f t="shared" si="0"/>
        <v>-1.5411902234524377E-2</v>
      </c>
      <c r="E33" s="119">
        <v>1322.8</v>
      </c>
      <c r="F33" s="347">
        <f t="shared" si="1"/>
        <v>0.10898725687458088</v>
      </c>
      <c r="G33" s="322"/>
      <c r="H33" s="119"/>
      <c r="M33" s="234"/>
      <c r="N33" s="331"/>
    </row>
    <row r="34" spans="2:14" x14ac:dyDescent="0.35">
      <c r="B34" s="517">
        <v>45292</v>
      </c>
      <c r="C34" s="119">
        <v>21725.7</v>
      </c>
      <c r="D34" s="347">
        <f t="shared" si="0"/>
        <v>-1.1695507396691895E-2</v>
      </c>
      <c r="E34" s="119">
        <v>1465.35</v>
      </c>
      <c r="F34" s="347">
        <f t="shared" si="1"/>
        <v>0.10776383429089798</v>
      </c>
      <c r="G34" s="322"/>
      <c r="H34" s="119"/>
      <c r="M34" s="234"/>
      <c r="N34" s="331"/>
    </row>
    <row r="35" spans="2:14" x14ac:dyDescent="0.35">
      <c r="B35" s="517">
        <v>45261</v>
      </c>
      <c r="C35" s="119">
        <v>21731.4</v>
      </c>
      <c r="D35" s="347">
        <f t="shared" si="0"/>
        <v>2.6236208729746302E-4</v>
      </c>
      <c r="E35" s="119">
        <v>1480.6</v>
      </c>
      <c r="F35" s="347">
        <f t="shared" si="1"/>
        <v>1.0407069983280337E-2</v>
      </c>
      <c r="G35" s="322"/>
      <c r="H35" s="119"/>
      <c r="M35" s="234"/>
      <c r="N35" s="331"/>
    </row>
    <row r="36" spans="2:14" x14ac:dyDescent="0.35">
      <c r="B36" s="517">
        <v>45231</v>
      </c>
      <c r="C36" s="119">
        <v>20133.150000000001</v>
      </c>
      <c r="D36" s="347">
        <f t="shared" si="0"/>
        <v>-7.3545652834147823E-2</v>
      </c>
      <c r="E36" s="119">
        <v>1512.55</v>
      </c>
      <c r="F36" s="347">
        <f t="shared" si="1"/>
        <v>2.1579089558287246E-2</v>
      </c>
      <c r="G36" s="322"/>
      <c r="H36" s="119"/>
      <c r="M36" s="234"/>
      <c r="N36" s="331"/>
    </row>
    <row r="37" spans="2:14" x14ac:dyDescent="0.35">
      <c r="B37" s="517">
        <v>45200</v>
      </c>
      <c r="C37" s="119">
        <v>19079.599999999999</v>
      </c>
      <c r="D37" s="347">
        <f t="shared" si="0"/>
        <v>-5.2329118890983461E-2</v>
      </c>
      <c r="E37" s="119">
        <v>1594.45</v>
      </c>
      <c r="F37" s="347">
        <f t="shared" si="1"/>
        <v>5.4146970348087686E-2</v>
      </c>
      <c r="G37" s="322"/>
      <c r="H37" s="119"/>
      <c r="M37" s="234"/>
      <c r="N37" s="331"/>
    </row>
    <row r="38" spans="2:14" x14ac:dyDescent="0.35">
      <c r="B38" s="517">
        <v>45170</v>
      </c>
      <c r="C38" s="119">
        <v>19638.3</v>
      </c>
      <c r="D38" s="347">
        <f t="shared" si="0"/>
        <v>2.9282584540556433E-2</v>
      </c>
      <c r="E38" s="119">
        <v>1758.55</v>
      </c>
      <c r="F38" s="347">
        <f t="shared" si="1"/>
        <v>0.102919502022641</v>
      </c>
      <c r="G38" s="322"/>
      <c r="H38" s="119"/>
      <c r="M38" s="234"/>
      <c r="N38" s="331"/>
    </row>
    <row r="39" spans="2:14" x14ac:dyDescent="0.35">
      <c r="B39" s="517">
        <v>45139</v>
      </c>
      <c r="C39" s="119">
        <v>19253.8</v>
      </c>
      <c r="D39" s="347">
        <f t="shared" ref="D39:D70" si="2">C39/C38-1</f>
        <v>-1.9579087802915729E-2</v>
      </c>
      <c r="E39" s="119">
        <v>1709.1</v>
      </c>
      <c r="F39" s="347">
        <f t="shared" ref="F39:F70" si="3">E39/E38-1</f>
        <v>-2.8119757754968555E-2</v>
      </c>
      <c r="G39" s="322"/>
      <c r="H39" s="119"/>
      <c r="M39" s="234"/>
      <c r="N39" s="331"/>
    </row>
    <row r="40" spans="2:14" x14ac:dyDescent="0.35">
      <c r="B40" s="517">
        <v>45108</v>
      </c>
      <c r="C40" s="119">
        <v>19753.8</v>
      </c>
      <c r="D40" s="347">
        <f t="shared" si="2"/>
        <v>2.5968899645784305E-2</v>
      </c>
      <c r="E40" s="119">
        <v>1598.7</v>
      </c>
      <c r="F40" s="347">
        <f t="shared" si="3"/>
        <v>-6.4595401088291982E-2</v>
      </c>
      <c r="G40" s="322"/>
      <c r="H40" s="119"/>
      <c r="M40" s="234"/>
      <c r="N40" s="331"/>
    </row>
    <row r="41" spans="2:14" x14ac:dyDescent="0.35">
      <c r="B41" s="517">
        <v>45078</v>
      </c>
      <c r="C41" s="119">
        <v>19189.05</v>
      </c>
      <c r="D41" s="347">
        <f t="shared" si="2"/>
        <v>-2.8589435956626108E-2</v>
      </c>
      <c r="E41" s="119">
        <v>1616</v>
      </c>
      <c r="F41" s="347">
        <f t="shared" si="3"/>
        <v>1.0821292299993734E-2</v>
      </c>
      <c r="G41" s="322"/>
      <c r="H41" s="119"/>
      <c r="M41" s="234"/>
      <c r="N41" s="331"/>
    </row>
    <row r="42" spans="2:14" x14ac:dyDescent="0.35">
      <c r="B42" s="517">
        <v>45047</v>
      </c>
      <c r="C42" s="119">
        <v>18534.400000000001</v>
      </c>
      <c r="D42" s="347">
        <f t="shared" si="2"/>
        <v>-3.4115810840036231E-2</v>
      </c>
      <c r="E42" s="119">
        <v>1607.65</v>
      </c>
      <c r="F42" s="347">
        <f t="shared" si="3"/>
        <v>-5.1670792079206995E-3</v>
      </c>
      <c r="G42" s="322"/>
      <c r="H42" s="119"/>
      <c r="M42" s="234"/>
      <c r="N42" s="331"/>
    </row>
    <row r="43" spans="2:14" x14ac:dyDescent="0.35">
      <c r="B43" s="517">
        <v>45017</v>
      </c>
      <c r="C43" s="119">
        <v>18065</v>
      </c>
      <c r="D43" s="347">
        <f t="shared" si="2"/>
        <v>-2.5325880524861955E-2</v>
      </c>
      <c r="E43" s="119">
        <v>1573.6</v>
      </c>
      <c r="F43" s="347">
        <f t="shared" si="3"/>
        <v>-2.1179983205299791E-2</v>
      </c>
      <c r="G43" s="322"/>
      <c r="H43" s="119"/>
      <c r="M43" s="234"/>
      <c r="N43" s="331"/>
    </row>
    <row r="44" spans="2:14" x14ac:dyDescent="0.35">
      <c r="B44" s="517">
        <v>44986</v>
      </c>
      <c r="C44" s="119">
        <v>17359.75</v>
      </c>
      <c r="D44" s="347">
        <f t="shared" si="2"/>
        <v>-3.9039579296983096E-2</v>
      </c>
      <c r="E44" s="119">
        <v>1283</v>
      </c>
      <c r="F44" s="347">
        <f t="shared" si="3"/>
        <v>-0.18467208947635994</v>
      </c>
      <c r="G44" s="322"/>
      <c r="H44" s="119"/>
      <c r="M44" s="234"/>
      <c r="N44" s="331"/>
    </row>
    <row r="45" spans="2:14" x14ac:dyDescent="0.35">
      <c r="B45" s="517">
        <v>44958</v>
      </c>
      <c r="C45" s="119">
        <v>17303.95</v>
      </c>
      <c r="D45" s="347">
        <f t="shared" si="2"/>
        <v>-3.2143320036290834E-3</v>
      </c>
      <c r="E45" s="119">
        <v>1279.55</v>
      </c>
      <c r="F45" s="347">
        <f t="shared" si="3"/>
        <v>-2.689010132502001E-3</v>
      </c>
      <c r="G45" s="322"/>
      <c r="H45" s="119"/>
      <c r="M45" s="234"/>
      <c r="N45" s="331"/>
    </row>
    <row r="46" spans="2:14" x14ac:dyDescent="0.35">
      <c r="B46" s="517">
        <v>44927</v>
      </c>
      <c r="C46" s="119">
        <v>17662.150000000001</v>
      </c>
      <c r="D46" s="347">
        <f t="shared" si="2"/>
        <v>2.0700475902900806E-2</v>
      </c>
      <c r="E46" s="119">
        <v>1229.05</v>
      </c>
      <c r="F46" s="347">
        <f t="shared" si="3"/>
        <v>-3.9467000117228701E-2</v>
      </c>
      <c r="G46" s="322"/>
      <c r="H46" s="119"/>
      <c r="M46" s="234"/>
      <c r="N46" s="331"/>
    </row>
    <row r="47" spans="2:14" x14ac:dyDescent="0.35">
      <c r="B47" s="517">
        <v>44896</v>
      </c>
      <c r="C47" s="119">
        <v>18105.3</v>
      </c>
      <c r="D47" s="347">
        <f t="shared" si="2"/>
        <v>2.5090376879371767E-2</v>
      </c>
      <c r="E47" s="119">
        <v>1249.7</v>
      </c>
      <c r="F47" s="347">
        <f t="shared" si="3"/>
        <v>1.6801594727635205E-2</v>
      </c>
      <c r="G47" s="322"/>
      <c r="H47" s="119"/>
      <c r="M47" s="234"/>
      <c r="N47" s="331"/>
    </row>
    <row r="48" spans="2:14" x14ac:dyDescent="0.35">
      <c r="B48" s="517">
        <v>44866</v>
      </c>
      <c r="C48" s="119">
        <v>18758.349999999999</v>
      </c>
      <c r="D48" s="347">
        <f t="shared" si="2"/>
        <v>3.6069548695685683E-2</v>
      </c>
      <c r="E48" s="119">
        <v>1271.6500000000001</v>
      </c>
      <c r="F48" s="347">
        <f t="shared" si="3"/>
        <v>1.7564215411698836E-2</v>
      </c>
      <c r="G48" s="322"/>
      <c r="H48" s="119"/>
      <c r="M48" s="234"/>
      <c r="N48" s="331"/>
    </row>
    <row r="49" spans="2:14" x14ac:dyDescent="0.35">
      <c r="B49" s="517">
        <v>44835</v>
      </c>
      <c r="C49" s="119">
        <v>18012.2</v>
      </c>
      <c r="D49" s="347">
        <f t="shared" si="2"/>
        <v>-3.9776952663746923E-2</v>
      </c>
      <c r="E49" s="119">
        <v>1497.6</v>
      </c>
      <c r="F49" s="347">
        <f t="shared" si="3"/>
        <v>0.17768253843431747</v>
      </c>
      <c r="G49" s="322"/>
      <c r="H49" s="119"/>
      <c r="M49" s="234"/>
      <c r="N49" s="331"/>
    </row>
    <row r="50" spans="2:14" x14ac:dyDescent="0.35">
      <c r="B50" s="517">
        <v>44805</v>
      </c>
      <c r="C50" s="119">
        <v>17094.349999999999</v>
      </c>
      <c r="D50" s="347">
        <f t="shared" si="2"/>
        <v>-5.0957129056972583E-2</v>
      </c>
      <c r="E50" s="119">
        <v>1481.5</v>
      </c>
      <c r="F50" s="347">
        <f t="shared" si="3"/>
        <v>-1.0750534188034178E-2</v>
      </c>
      <c r="G50" s="322"/>
      <c r="H50" s="119"/>
      <c r="M50" s="234"/>
      <c r="N50" s="331"/>
    </row>
    <row r="51" spans="2:14" x14ac:dyDescent="0.35">
      <c r="B51" s="517">
        <v>44774</v>
      </c>
      <c r="C51" s="119">
        <v>17759.3</v>
      </c>
      <c r="D51" s="347">
        <f t="shared" si="2"/>
        <v>3.8898817445530254E-2</v>
      </c>
      <c r="E51" s="119">
        <v>1492.8</v>
      </c>
      <c r="F51" s="347">
        <f t="shared" si="3"/>
        <v>7.6274046574418275E-3</v>
      </c>
      <c r="G51" s="322"/>
      <c r="H51" s="119"/>
      <c r="M51" s="234"/>
      <c r="N51" s="331"/>
    </row>
    <row r="52" spans="2:14" x14ac:dyDescent="0.35">
      <c r="B52" s="517">
        <v>44743</v>
      </c>
      <c r="C52" s="119">
        <v>17158.25</v>
      </c>
      <c r="D52" s="347">
        <f t="shared" si="2"/>
        <v>-3.3844239356280892E-2</v>
      </c>
      <c r="E52" s="119">
        <v>1370.6</v>
      </c>
      <c r="F52" s="347">
        <f t="shared" si="3"/>
        <v>-8.1859592711682749E-2</v>
      </c>
      <c r="G52" s="322"/>
      <c r="H52" s="119"/>
      <c r="M52" s="234"/>
      <c r="N52" s="331"/>
    </row>
    <row r="53" spans="2:14" x14ac:dyDescent="0.35">
      <c r="B53" s="517">
        <v>44713</v>
      </c>
      <c r="C53" s="119">
        <v>15780.25</v>
      </c>
      <c r="D53" s="347">
        <f t="shared" si="2"/>
        <v>-8.0311220549881268E-2</v>
      </c>
      <c r="E53" s="119">
        <v>1294.6500000000001</v>
      </c>
      <c r="F53" s="347">
        <f t="shared" si="3"/>
        <v>-5.5413687436159265E-2</v>
      </c>
      <c r="G53" s="322"/>
      <c r="H53" s="119"/>
      <c r="M53" s="234"/>
      <c r="N53" s="331"/>
    </row>
    <row r="54" spans="2:14" x14ac:dyDescent="0.35">
      <c r="B54" s="517">
        <v>44682</v>
      </c>
      <c r="C54" s="119">
        <v>16584.55</v>
      </c>
      <c r="D54" s="347">
        <f t="shared" si="2"/>
        <v>5.0968774258962846E-2</v>
      </c>
      <c r="E54" s="119">
        <v>1481.55</v>
      </c>
      <c r="F54" s="347">
        <f t="shared" si="3"/>
        <v>0.14436334144363339</v>
      </c>
      <c r="G54" s="322"/>
      <c r="H54" s="119"/>
      <c r="M54" s="234"/>
      <c r="N54" s="331"/>
    </row>
    <row r="55" spans="2:14" x14ac:dyDescent="0.35">
      <c r="B55" s="517">
        <v>44652</v>
      </c>
      <c r="C55" s="119">
        <v>17102.55</v>
      </c>
      <c r="D55" s="347">
        <f t="shared" si="2"/>
        <v>3.1233889372940471E-2</v>
      </c>
      <c r="E55" s="119">
        <v>1552.25</v>
      </c>
      <c r="F55" s="347">
        <f t="shared" si="3"/>
        <v>4.7720292936451747E-2</v>
      </c>
      <c r="G55" s="322"/>
      <c r="H55" s="119"/>
      <c r="M55" s="234"/>
      <c r="N55" s="331"/>
    </row>
    <row r="56" spans="2:14" x14ac:dyDescent="0.35">
      <c r="B56" s="517">
        <v>44621</v>
      </c>
      <c r="C56" s="119">
        <v>17464.75</v>
      </c>
      <c r="D56" s="347">
        <f t="shared" si="2"/>
        <v>2.1178128407752128E-2</v>
      </c>
      <c r="E56" s="119">
        <v>1744.85</v>
      </c>
      <c r="F56" s="347">
        <f t="shared" si="3"/>
        <v>0.12407795136092759</v>
      </c>
      <c r="G56" s="322"/>
      <c r="H56" s="119"/>
      <c r="M56" s="234"/>
      <c r="N56" s="331"/>
    </row>
    <row r="57" spans="2:14" x14ac:dyDescent="0.35">
      <c r="B57" s="517">
        <v>44593</v>
      </c>
      <c r="C57" s="119">
        <v>16793.900000000001</v>
      </c>
      <c r="D57" s="347">
        <f t="shared" si="2"/>
        <v>-3.841165776778932E-2</v>
      </c>
      <c r="E57" s="119">
        <v>1525.4</v>
      </c>
      <c r="F57" s="347">
        <f t="shared" si="3"/>
        <v>-0.12577012350631844</v>
      </c>
      <c r="G57" s="322"/>
      <c r="H57" s="119"/>
      <c r="M57" s="234"/>
      <c r="N57" s="331"/>
    </row>
    <row r="58" spans="2:14" x14ac:dyDescent="0.35">
      <c r="B58" s="517">
        <v>44562</v>
      </c>
      <c r="C58" s="119">
        <v>17339.849999999999</v>
      </c>
      <c r="D58" s="347">
        <f t="shared" si="2"/>
        <v>3.2508827610024937E-2</v>
      </c>
      <c r="E58" s="119">
        <v>1659.25</v>
      </c>
      <c r="F58" s="347">
        <f t="shared" si="3"/>
        <v>8.7747476071849961E-2</v>
      </c>
      <c r="G58" s="322"/>
      <c r="H58" s="119"/>
      <c r="M58" s="234"/>
      <c r="N58" s="331"/>
    </row>
    <row r="59" spans="2:14" x14ac:dyDescent="0.35">
      <c r="B59" s="517">
        <v>44531</v>
      </c>
      <c r="C59" s="119">
        <v>17354.05</v>
      </c>
      <c r="D59" s="347">
        <f t="shared" si="2"/>
        <v>8.189228857227171E-4</v>
      </c>
      <c r="E59" s="119">
        <v>1646.7</v>
      </c>
      <c r="F59" s="347">
        <f t="shared" si="3"/>
        <v>-7.5636582793430218E-3</v>
      </c>
      <c r="G59" s="322"/>
      <c r="H59" s="119"/>
      <c r="M59" s="234"/>
      <c r="N59" s="331"/>
    </row>
    <row r="60" spans="2:14" x14ac:dyDescent="0.35">
      <c r="B60" s="517">
        <v>44501</v>
      </c>
      <c r="C60" s="119">
        <v>16983.2</v>
      </c>
      <c r="D60" s="347">
        <f t="shared" si="2"/>
        <v>-2.1369651464643646E-2</v>
      </c>
      <c r="E60" s="119">
        <v>1395.35</v>
      </c>
      <c r="F60" s="347">
        <f t="shared" si="3"/>
        <v>-0.15263861055444228</v>
      </c>
      <c r="G60" s="322"/>
      <c r="H60" s="119"/>
      <c r="M60" s="234"/>
      <c r="N60" s="331"/>
    </row>
    <row r="61" spans="2:14" x14ac:dyDescent="0.35">
      <c r="B61" s="517">
        <v>44470</v>
      </c>
      <c r="C61" s="119">
        <v>17671.650000000001</v>
      </c>
      <c r="D61" s="347">
        <f t="shared" si="2"/>
        <v>4.0537119035281899E-2</v>
      </c>
      <c r="E61" s="119">
        <v>1187.05</v>
      </c>
      <c r="F61" s="347">
        <f t="shared" si="3"/>
        <v>-0.14928154226538137</v>
      </c>
      <c r="G61" s="322"/>
      <c r="H61" s="119"/>
      <c r="M61" s="234"/>
      <c r="N61" s="331"/>
    </row>
    <row r="62" spans="2:14" x14ac:dyDescent="0.35">
      <c r="B62" s="517">
        <v>44440</v>
      </c>
      <c r="C62" s="119">
        <v>17618.150000000001</v>
      </c>
      <c r="D62" s="347">
        <f t="shared" si="2"/>
        <v>-3.0274479179929203E-3</v>
      </c>
      <c r="E62" s="119">
        <v>1237.3499999999999</v>
      </c>
      <c r="F62" s="347">
        <f t="shared" si="3"/>
        <v>4.2373952234530998E-2</v>
      </c>
      <c r="G62" s="322"/>
      <c r="H62" s="119"/>
      <c r="M62" s="234"/>
      <c r="N62" s="331"/>
    </row>
    <row r="63" spans="2:14" x14ac:dyDescent="0.35">
      <c r="B63" s="517">
        <v>44409</v>
      </c>
      <c r="C63" s="119">
        <v>17132.2</v>
      </c>
      <c r="D63" s="347">
        <f t="shared" si="2"/>
        <v>-2.7582351154917029E-2</v>
      </c>
      <c r="E63">
        <v>962.35</v>
      </c>
      <c r="F63" s="347">
        <f t="shared" si="3"/>
        <v>-0.22224916151452689</v>
      </c>
      <c r="G63" s="322"/>
      <c r="H63" s="119"/>
      <c r="M63" s="234"/>
      <c r="N63" s="331"/>
    </row>
    <row r="64" spans="2:14" x14ac:dyDescent="0.35">
      <c r="B64" s="517">
        <v>44378</v>
      </c>
      <c r="C64" s="119">
        <v>15763.05</v>
      </c>
      <c r="D64" s="347">
        <f t="shared" si="2"/>
        <v>-7.9916764922193351E-2</v>
      </c>
      <c r="E64">
        <v>916.8</v>
      </c>
      <c r="F64" s="347">
        <f t="shared" si="3"/>
        <v>-4.7332051748324444E-2</v>
      </c>
      <c r="G64" s="322"/>
      <c r="H64" s="119"/>
      <c r="M64" s="234"/>
      <c r="N64" s="331"/>
    </row>
    <row r="65" spans="2:14" x14ac:dyDescent="0.35">
      <c r="B65" s="517">
        <v>44348</v>
      </c>
      <c r="C65" s="119">
        <v>15721.5</v>
      </c>
      <c r="D65" s="347">
        <f t="shared" si="2"/>
        <v>-2.6359111973888183E-3</v>
      </c>
      <c r="E65">
        <v>851</v>
      </c>
      <c r="F65" s="347">
        <f t="shared" si="3"/>
        <v>-7.1771378708551437E-2</v>
      </c>
      <c r="G65" s="322"/>
      <c r="H65" s="119"/>
      <c r="M65" s="234"/>
      <c r="N65" s="331"/>
    </row>
    <row r="66" spans="2:14" x14ac:dyDescent="0.35">
      <c r="B66" s="517">
        <v>44317</v>
      </c>
      <c r="C66" s="119">
        <v>15582.8</v>
      </c>
      <c r="D66" s="347">
        <f t="shared" si="2"/>
        <v>-8.8223133924880681E-3</v>
      </c>
      <c r="E66">
        <v>929.45</v>
      </c>
      <c r="F66" s="347">
        <f t="shared" si="3"/>
        <v>9.2185663924794436E-2</v>
      </c>
      <c r="G66" s="322"/>
      <c r="H66" s="119"/>
      <c r="M66" s="234"/>
      <c r="N66" s="331"/>
    </row>
    <row r="67" spans="2:14" x14ac:dyDescent="0.35">
      <c r="B67" s="517">
        <v>44287</v>
      </c>
      <c r="C67" s="119">
        <v>14631.1</v>
      </c>
      <c r="D67" s="347">
        <f t="shared" si="2"/>
        <v>-6.1073747978540371E-2</v>
      </c>
      <c r="E67">
        <v>864.75</v>
      </c>
      <c r="F67" s="347">
        <f t="shared" si="3"/>
        <v>-6.9611060304481165E-2</v>
      </c>
      <c r="G67" s="322"/>
      <c r="H67" s="119"/>
    </row>
    <row r="68" spans="2:14" x14ac:dyDescent="0.35">
      <c r="B68" s="517">
        <v>44256</v>
      </c>
      <c r="C68" s="119">
        <v>14690.7</v>
      </c>
      <c r="D68" s="347">
        <f t="shared" si="2"/>
        <v>4.0735146366301933E-3</v>
      </c>
      <c r="E68">
        <v>864.3</v>
      </c>
      <c r="F68" s="347">
        <f t="shared" si="3"/>
        <v>-5.2038161318301857E-4</v>
      </c>
      <c r="G68" s="322"/>
      <c r="H68" s="119"/>
    </row>
    <row r="69" spans="2:14" x14ac:dyDescent="0.35">
      <c r="B69" s="517">
        <v>44228</v>
      </c>
      <c r="C69" s="119">
        <v>14529.15</v>
      </c>
      <c r="D69" s="347">
        <f t="shared" si="2"/>
        <v>-1.0996753047846641E-2</v>
      </c>
      <c r="E69">
        <v>819.6</v>
      </c>
      <c r="F69" s="347">
        <f t="shared" si="3"/>
        <v>-5.1718153418951696E-2</v>
      </c>
      <c r="G69" s="322"/>
      <c r="H69" s="119"/>
    </row>
    <row r="70" spans="2:14" x14ac:dyDescent="0.35">
      <c r="B70" s="517">
        <v>44197</v>
      </c>
      <c r="C70" s="119">
        <v>13634.6</v>
      </c>
      <c r="D70" s="347">
        <f t="shared" si="2"/>
        <v>-6.156932786845748E-2</v>
      </c>
      <c r="E70">
        <v>709.5</v>
      </c>
      <c r="F70" s="347">
        <f t="shared" si="3"/>
        <v>-0.13433382137628114</v>
      </c>
      <c r="G70" s="322"/>
      <c r="H70" s="119"/>
    </row>
    <row r="71" spans="2:14" x14ac:dyDescent="0.35">
      <c r="B71" s="517">
        <v>44166</v>
      </c>
      <c r="C71" s="119">
        <v>13981.75</v>
      </c>
      <c r="D71" s="347">
        <f t="shared" ref="D71:D89" si="4">C71/C70-1</f>
        <v>2.5460959617443768E-2</v>
      </c>
      <c r="E71">
        <v>727.45</v>
      </c>
      <c r="F71" s="347">
        <f t="shared" ref="F71:F89" si="5">E71/E70-1</f>
        <v>2.5299506694855589E-2</v>
      </c>
      <c r="G71" s="322"/>
      <c r="H71" s="119"/>
    </row>
    <row r="72" spans="2:14" x14ac:dyDescent="0.35">
      <c r="B72" s="517">
        <v>44136</v>
      </c>
      <c r="C72" s="119">
        <v>12968.95</v>
      </c>
      <c r="D72" s="347">
        <f t="shared" si="4"/>
        <v>-7.2437284317056094E-2</v>
      </c>
      <c r="E72">
        <v>629.45000000000005</v>
      </c>
      <c r="F72" s="347">
        <f t="shared" si="5"/>
        <v>-0.13471716269159395</v>
      </c>
      <c r="G72" s="322"/>
      <c r="H72" s="119"/>
    </row>
    <row r="73" spans="2:14" x14ac:dyDescent="0.35">
      <c r="B73" s="517">
        <v>44105</v>
      </c>
      <c r="C73" s="119">
        <v>11642.4</v>
      </c>
      <c r="D73" s="347">
        <f t="shared" si="4"/>
        <v>-0.10228661533894423</v>
      </c>
      <c r="E73">
        <v>621.15</v>
      </c>
      <c r="F73" s="347">
        <f t="shared" si="5"/>
        <v>-1.3186114862181353E-2</v>
      </c>
      <c r="G73" s="322"/>
      <c r="H73" s="119"/>
    </row>
    <row r="74" spans="2:14" x14ac:dyDescent="0.35">
      <c r="B74" s="517">
        <v>44075</v>
      </c>
      <c r="C74" s="119">
        <v>11247.55</v>
      </c>
      <c r="D74" s="347">
        <f t="shared" si="4"/>
        <v>-3.3914828557685683E-2</v>
      </c>
      <c r="E74">
        <v>671.3</v>
      </c>
      <c r="F74" s="347">
        <f t="shared" si="5"/>
        <v>8.0737342026885539E-2</v>
      </c>
      <c r="G74" s="322"/>
      <c r="H74" s="119"/>
    </row>
    <row r="75" spans="2:14" x14ac:dyDescent="0.35">
      <c r="B75" s="517">
        <v>44044</v>
      </c>
      <c r="C75" s="119">
        <v>11387.5</v>
      </c>
      <c r="D75" s="347">
        <f t="shared" si="4"/>
        <v>1.2442709745678071E-2</v>
      </c>
      <c r="E75">
        <v>683.35</v>
      </c>
      <c r="F75" s="347">
        <f t="shared" si="5"/>
        <v>1.7950245791747532E-2</v>
      </c>
    </row>
    <row r="76" spans="2:14" x14ac:dyDescent="0.35">
      <c r="B76" s="517">
        <v>44013</v>
      </c>
      <c r="C76" s="119">
        <v>11073.45</v>
      </c>
      <c r="D76" s="347">
        <f t="shared" si="4"/>
        <v>-2.7578485181119605E-2</v>
      </c>
      <c r="E76">
        <v>539</v>
      </c>
      <c r="F76" s="347">
        <f t="shared" si="5"/>
        <v>-0.21123875027438355</v>
      </c>
      <c r="G76" s="322"/>
      <c r="H76" s="119"/>
    </row>
    <row r="77" spans="2:14" x14ac:dyDescent="0.35">
      <c r="B77" s="517">
        <v>43983</v>
      </c>
      <c r="C77" s="119">
        <v>10302.1</v>
      </c>
      <c r="D77" s="347">
        <f t="shared" si="4"/>
        <v>-6.9657604450284238E-2</v>
      </c>
      <c r="E77">
        <v>474.35</v>
      </c>
      <c r="F77" s="347">
        <f t="shared" si="5"/>
        <v>-0.11994434137291277</v>
      </c>
      <c r="G77" s="322"/>
      <c r="H77" s="119"/>
    </row>
    <row r="78" spans="2:14" x14ac:dyDescent="0.35">
      <c r="B78" s="517">
        <v>43952</v>
      </c>
      <c r="C78" s="119">
        <v>9580.2999999999993</v>
      </c>
      <c r="D78" s="347">
        <f t="shared" si="4"/>
        <v>-7.00633851350696E-2</v>
      </c>
      <c r="E78">
        <v>457.95</v>
      </c>
      <c r="F78" s="347">
        <f t="shared" si="5"/>
        <v>-3.4573627068620327E-2</v>
      </c>
      <c r="G78" s="322"/>
      <c r="H78" s="119"/>
    </row>
    <row r="79" spans="2:14" x14ac:dyDescent="0.35">
      <c r="B79" s="517">
        <v>43922</v>
      </c>
      <c r="C79" s="119">
        <v>9859.9</v>
      </c>
      <c r="D79" s="347">
        <f t="shared" si="4"/>
        <v>2.9184889825997207E-2</v>
      </c>
      <c r="E79">
        <v>482.9</v>
      </c>
      <c r="F79" s="347">
        <f t="shared" si="5"/>
        <v>5.4481930341740314E-2</v>
      </c>
      <c r="G79" s="322"/>
      <c r="H79" s="119"/>
    </row>
    <row r="80" spans="2:14" x14ac:dyDescent="0.35">
      <c r="B80" s="517">
        <v>43891</v>
      </c>
      <c r="C80" s="119">
        <v>8597.75</v>
      </c>
      <c r="D80" s="347">
        <f t="shared" si="4"/>
        <v>-0.12800839765109173</v>
      </c>
      <c r="E80">
        <v>351.1</v>
      </c>
      <c r="F80" s="347">
        <f t="shared" si="5"/>
        <v>-0.27293435493891072</v>
      </c>
      <c r="G80" s="322"/>
      <c r="H80" s="119"/>
    </row>
    <row r="81" spans="2:8" x14ac:dyDescent="0.35">
      <c r="B81" s="517">
        <v>43862</v>
      </c>
      <c r="C81" s="119">
        <v>11201.75</v>
      </c>
      <c r="D81" s="347">
        <f t="shared" si="4"/>
        <v>0.3028699369020964</v>
      </c>
      <c r="E81">
        <v>496.65</v>
      </c>
      <c r="F81" s="347">
        <f t="shared" si="5"/>
        <v>0.41455425804614054</v>
      </c>
      <c r="G81" s="322"/>
      <c r="H81" s="119"/>
    </row>
    <row r="82" spans="2:8" x14ac:dyDescent="0.35">
      <c r="B82" s="517">
        <v>43831</v>
      </c>
      <c r="C82" s="119">
        <v>11962.1</v>
      </c>
      <c r="D82" s="347">
        <f t="shared" si="4"/>
        <v>6.7877786952931451E-2</v>
      </c>
      <c r="E82">
        <v>383.35</v>
      </c>
      <c r="F82" s="347">
        <f t="shared" si="5"/>
        <v>-0.22812846068660009</v>
      </c>
      <c r="G82" s="322"/>
      <c r="H82" s="119"/>
    </row>
    <row r="83" spans="2:8" x14ac:dyDescent="0.35">
      <c r="B83" s="517">
        <v>43800</v>
      </c>
      <c r="C83" s="119">
        <v>12168.45</v>
      </c>
      <c r="D83" s="347">
        <f t="shared" si="4"/>
        <v>1.725031558004031E-2</v>
      </c>
      <c r="E83">
        <v>356.45</v>
      </c>
      <c r="F83" s="347">
        <f t="shared" si="5"/>
        <v>-7.017086213642898E-2</v>
      </c>
      <c r="G83" s="322"/>
      <c r="H83" s="119"/>
    </row>
    <row r="84" spans="2:8" x14ac:dyDescent="0.35">
      <c r="B84" s="517">
        <v>43770</v>
      </c>
      <c r="C84" s="119">
        <v>12056.05</v>
      </c>
      <c r="D84" s="347">
        <f t="shared" si="4"/>
        <v>-9.2370022476159219E-3</v>
      </c>
      <c r="E84">
        <v>369.85</v>
      </c>
      <c r="F84" s="347">
        <f t="shared" si="5"/>
        <v>3.7592930284752413E-2</v>
      </c>
      <c r="G84" s="322"/>
      <c r="H84" s="119"/>
    </row>
    <row r="85" spans="2:8" x14ac:dyDescent="0.35">
      <c r="B85" s="517">
        <v>43739</v>
      </c>
      <c r="C85" s="119">
        <v>11877.45</v>
      </c>
      <c r="D85" s="347">
        <f t="shared" si="4"/>
        <v>-1.4814138959277634E-2</v>
      </c>
      <c r="E85">
        <v>386.3</v>
      </c>
      <c r="F85" s="347">
        <f t="shared" si="5"/>
        <v>4.4477490874678782E-2</v>
      </c>
      <c r="G85" s="322"/>
      <c r="H85" s="119"/>
    </row>
    <row r="86" spans="2:8" x14ac:dyDescent="0.35">
      <c r="B86" s="517">
        <v>43709</v>
      </c>
      <c r="C86" s="119">
        <v>11474.45</v>
      </c>
      <c r="D86" s="347">
        <f t="shared" si="4"/>
        <v>-3.3929841843156616E-2</v>
      </c>
      <c r="E86">
        <v>349.2</v>
      </c>
      <c r="F86" s="347">
        <f t="shared" si="5"/>
        <v>-9.6039347657261298E-2</v>
      </c>
      <c r="G86" s="322"/>
      <c r="H86" s="119"/>
    </row>
    <row r="87" spans="2:8" x14ac:dyDescent="0.35">
      <c r="B87" s="517">
        <v>43678</v>
      </c>
      <c r="C87" s="119">
        <v>11023.25</v>
      </c>
      <c r="D87" s="347">
        <f t="shared" si="4"/>
        <v>-3.9322146159511018E-2</v>
      </c>
      <c r="E87">
        <v>310.05</v>
      </c>
      <c r="F87" s="347">
        <f t="shared" si="5"/>
        <v>-0.1121134020618556</v>
      </c>
      <c r="G87" s="322"/>
      <c r="H87" s="119"/>
    </row>
    <row r="88" spans="2:8" x14ac:dyDescent="0.35">
      <c r="B88" s="517">
        <v>43647</v>
      </c>
      <c r="C88" s="119">
        <v>11118</v>
      </c>
      <c r="D88" s="347">
        <f t="shared" si="4"/>
        <v>8.5954686684961423E-3</v>
      </c>
      <c r="E88">
        <v>330.05</v>
      </c>
      <c r="F88" s="347">
        <f t="shared" si="5"/>
        <v>6.4505724883083371E-2</v>
      </c>
      <c r="G88" s="322"/>
      <c r="H88" s="119"/>
    </row>
    <row r="89" spans="2:8" x14ac:dyDescent="0.35">
      <c r="B89" s="517">
        <v>43617</v>
      </c>
      <c r="C89" s="119">
        <v>11788.85</v>
      </c>
      <c r="D89" s="347">
        <f t="shared" si="4"/>
        <v>6.0339089764346099E-2</v>
      </c>
      <c r="E89">
        <v>358.7</v>
      </c>
      <c r="F89" s="347">
        <f t="shared" si="5"/>
        <v>8.6805029540978573E-2</v>
      </c>
      <c r="G89" s="322"/>
      <c r="H89" s="119"/>
    </row>
    <row r="90" spans="2:8" x14ac:dyDescent="0.35">
      <c r="B90" s="517"/>
      <c r="C90" s="119"/>
      <c r="D90" s="347"/>
      <c r="E90" s="99"/>
      <c r="F90" s="347"/>
      <c r="G90" s="322"/>
      <c r="H90" s="119"/>
    </row>
    <row r="91" spans="2:8" x14ac:dyDescent="0.35">
      <c r="B91" s="517"/>
      <c r="C91" s="119"/>
      <c r="D91" s="347"/>
      <c r="E91" s="99"/>
      <c r="F91" s="347"/>
      <c r="G91" s="322"/>
      <c r="H91" s="119"/>
    </row>
    <row r="92" spans="2:8" x14ac:dyDescent="0.35">
      <c r="B92" s="517"/>
      <c r="C92" s="119"/>
      <c r="D92" s="347"/>
      <c r="E92" s="99"/>
      <c r="F92" s="347"/>
      <c r="G92" s="322"/>
      <c r="H92" s="119"/>
    </row>
    <row r="93" spans="2:8" x14ac:dyDescent="0.35">
      <c r="B93" s="517"/>
      <c r="C93" s="119"/>
      <c r="D93" s="347"/>
      <c r="E93" s="99"/>
      <c r="F93" s="347"/>
      <c r="G93" s="322"/>
      <c r="H93" s="119"/>
    </row>
    <row r="94" spans="2:8" x14ac:dyDescent="0.35">
      <c r="B94" s="517"/>
      <c r="C94" s="119"/>
      <c r="D94" s="347"/>
      <c r="E94" s="99"/>
      <c r="F94" s="347"/>
      <c r="G94" s="322"/>
      <c r="H94" s="119"/>
    </row>
    <row r="95" spans="2:8" x14ac:dyDescent="0.35">
      <c r="B95" s="517"/>
      <c r="C95" s="119"/>
      <c r="D95" s="347"/>
      <c r="E95" s="99"/>
      <c r="F95" s="347"/>
      <c r="G95" s="322"/>
      <c r="H95" s="119"/>
    </row>
    <row r="96" spans="2:8" x14ac:dyDescent="0.35">
      <c r="B96" s="517"/>
      <c r="C96" s="119"/>
      <c r="D96" s="347"/>
      <c r="E96" s="99"/>
      <c r="F96" s="347"/>
      <c r="G96" s="322"/>
      <c r="H96" s="119"/>
    </row>
    <row r="97" spans="2:8" x14ac:dyDescent="0.35">
      <c r="B97" s="517"/>
      <c r="C97" s="119"/>
      <c r="D97" s="347"/>
      <c r="E97" s="99"/>
      <c r="F97" s="347"/>
      <c r="G97" s="322"/>
      <c r="H97" s="119"/>
    </row>
    <row r="98" spans="2:8" x14ac:dyDescent="0.35">
      <c r="B98" s="517"/>
      <c r="C98" s="119"/>
      <c r="D98" s="347"/>
      <c r="E98" s="99"/>
      <c r="F98" s="347"/>
      <c r="G98" s="322"/>
      <c r="H98" s="119"/>
    </row>
    <row r="99" spans="2:8" x14ac:dyDescent="0.35">
      <c r="B99" s="517"/>
      <c r="C99" s="119"/>
      <c r="D99" s="347"/>
      <c r="E99" s="99"/>
      <c r="F99" s="347"/>
      <c r="G99" s="322"/>
      <c r="H99" s="119"/>
    </row>
    <row r="100" spans="2:8" x14ac:dyDescent="0.35">
      <c r="B100" s="517"/>
      <c r="C100" s="119"/>
      <c r="D100" s="347"/>
      <c r="E100" s="99"/>
      <c r="F100" s="347"/>
      <c r="G100" s="322"/>
      <c r="H100" s="119"/>
    </row>
    <row r="101" spans="2:8" x14ac:dyDescent="0.35">
      <c r="B101" s="517"/>
      <c r="C101" s="119"/>
      <c r="D101" s="347"/>
      <c r="E101" s="99"/>
      <c r="F101" s="347"/>
      <c r="G101" s="322"/>
      <c r="H101" s="119"/>
    </row>
    <row r="102" spans="2:8" x14ac:dyDescent="0.35">
      <c r="B102" s="517"/>
      <c r="C102" s="119"/>
      <c r="D102" s="347"/>
      <c r="E102" s="99"/>
      <c r="F102" s="347"/>
      <c r="G102" s="322"/>
      <c r="H102" s="119"/>
    </row>
    <row r="103" spans="2:8" x14ac:dyDescent="0.35">
      <c r="B103" s="517"/>
      <c r="C103" s="119"/>
      <c r="D103" s="347"/>
      <c r="E103" s="99"/>
      <c r="F103" s="347"/>
      <c r="G103" s="322"/>
      <c r="H103" s="119"/>
    </row>
    <row r="104" spans="2:8" x14ac:dyDescent="0.35">
      <c r="B104" s="517"/>
      <c r="C104" s="119"/>
      <c r="D104" s="347"/>
      <c r="E104" s="99"/>
      <c r="F104" s="347"/>
      <c r="G104" s="322"/>
      <c r="H104" s="119"/>
    </row>
    <row r="105" spans="2:8" x14ac:dyDescent="0.35">
      <c r="B105" s="517"/>
      <c r="C105" s="119"/>
      <c r="D105" s="347"/>
      <c r="E105" s="99"/>
      <c r="F105" s="347"/>
      <c r="G105" s="322"/>
      <c r="H105" s="119"/>
    </row>
    <row r="106" spans="2:8" x14ac:dyDescent="0.35">
      <c r="B106" s="517"/>
      <c r="C106" s="119"/>
      <c r="D106" s="347"/>
      <c r="E106" s="99"/>
      <c r="F106" s="347"/>
      <c r="G106" s="322"/>
      <c r="H106" s="119"/>
    </row>
    <row r="107" spans="2:8" x14ac:dyDescent="0.35">
      <c r="B107" s="517"/>
      <c r="C107" s="119"/>
      <c r="D107" s="347"/>
      <c r="E107" s="99"/>
      <c r="F107" s="347"/>
      <c r="G107" s="322"/>
      <c r="H107" s="119"/>
    </row>
    <row r="108" spans="2:8" x14ac:dyDescent="0.35">
      <c r="B108" s="517"/>
      <c r="C108" s="119"/>
      <c r="D108" s="347"/>
      <c r="E108" s="99"/>
      <c r="F108" s="347"/>
      <c r="G108" s="322"/>
      <c r="H108" s="119"/>
    </row>
    <row r="109" spans="2:8" x14ac:dyDescent="0.35">
      <c r="B109" s="517"/>
      <c r="C109" s="119"/>
      <c r="D109" s="347"/>
      <c r="E109" s="99"/>
      <c r="F109" s="347"/>
      <c r="G109" s="322"/>
      <c r="H109" s="119"/>
    </row>
    <row r="110" spans="2:8" x14ac:dyDescent="0.35">
      <c r="B110" s="517"/>
      <c r="C110" s="119"/>
      <c r="D110" s="347"/>
      <c r="E110" s="99"/>
      <c r="F110" s="347"/>
      <c r="G110" s="322"/>
      <c r="H110" s="119"/>
    </row>
    <row r="111" spans="2:8" x14ac:dyDescent="0.35">
      <c r="B111" s="517"/>
      <c r="C111" s="119"/>
      <c r="D111" s="347"/>
      <c r="E111" s="99"/>
      <c r="F111" s="347"/>
      <c r="G111" s="322"/>
      <c r="H111" s="119"/>
    </row>
    <row r="112" spans="2:8" x14ac:dyDescent="0.35">
      <c r="B112" s="517"/>
      <c r="C112" s="119"/>
      <c r="D112" s="347"/>
      <c r="E112" s="99"/>
      <c r="F112" s="347"/>
      <c r="G112" s="322"/>
      <c r="H112" s="119"/>
    </row>
    <row r="113" spans="2:8" x14ac:dyDescent="0.35">
      <c r="B113" s="517"/>
      <c r="C113" s="119"/>
      <c r="D113" s="347"/>
      <c r="E113" s="99"/>
      <c r="F113" s="347"/>
      <c r="G113" s="322"/>
      <c r="H113" s="119"/>
    </row>
    <row r="114" spans="2:8" x14ac:dyDescent="0.35">
      <c r="B114" s="517"/>
      <c r="C114" s="119"/>
      <c r="D114" s="347"/>
      <c r="E114" s="99"/>
      <c r="F114" s="347"/>
      <c r="G114" s="322"/>
      <c r="H114" s="119"/>
    </row>
    <row r="115" spans="2:8" x14ac:dyDescent="0.35">
      <c r="B115" s="517"/>
      <c r="C115" s="119"/>
      <c r="D115" s="347"/>
      <c r="E115" s="99"/>
      <c r="F115" s="347"/>
      <c r="G115" s="322"/>
      <c r="H115" s="119"/>
    </row>
    <row r="116" spans="2:8" x14ac:dyDescent="0.35">
      <c r="B116" s="517"/>
      <c r="C116" s="119"/>
      <c r="D116" s="347"/>
      <c r="E116" s="99"/>
      <c r="F116" s="347"/>
      <c r="G116" s="322"/>
      <c r="H116" s="119"/>
    </row>
    <row r="117" spans="2:8" x14ac:dyDescent="0.35">
      <c r="B117" s="517"/>
      <c r="C117" s="119"/>
      <c r="D117" s="347"/>
      <c r="E117" s="99"/>
      <c r="F117" s="347"/>
      <c r="G117" s="322"/>
      <c r="H117" s="119"/>
    </row>
    <row r="118" spans="2:8" x14ac:dyDescent="0.35">
      <c r="B118" s="517"/>
      <c r="C118" s="119"/>
      <c r="D118" s="347"/>
      <c r="E118" s="99"/>
      <c r="F118" s="347"/>
      <c r="G118" s="322"/>
      <c r="H118" s="119"/>
    </row>
    <row r="119" spans="2:8" x14ac:dyDescent="0.35">
      <c r="B119" s="517"/>
      <c r="C119" s="119"/>
      <c r="D119" s="347"/>
      <c r="E119" s="99"/>
      <c r="F119" s="347"/>
      <c r="G119" s="322"/>
      <c r="H119" s="119"/>
    </row>
    <row r="120" spans="2:8" x14ac:dyDescent="0.35">
      <c r="B120" s="517"/>
      <c r="C120" s="119"/>
      <c r="D120" s="347"/>
      <c r="E120" s="99"/>
      <c r="F120" s="347"/>
      <c r="G120" s="322"/>
      <c r="H120" s="119"/>
    </row>
    <row r="121" spans="2:8" x14ac:dyDescent="0.35">
      <c r="B121" s="517"/>
      <c r="C121" s="119"/>
      <c r="D121" s="347"/>
      <c r="E121" s="99"/>
      <c r="F121" s="347"/>
      <c r="G121" s="322"/>
      <c r="H121" s="119"/>
    </row>
    <row r="122" spans="2:8" x14ac:dyDescent="0.35">
      <c r="B122" s="517"/>
      <c r="C122" s="119"/>
      <c r="D122" s="347"/>
      <c r="E122" s="99"/>
      <c r="F122" s="347"/>
      <c r="G122" s="322"/>
      <c r="H122" s="119"/>
    </row>
    <row r="123" spans="2:8" x14ac:dyDescent="0.35">
      <c r="B123" s="517"/>
      <c r="C123" s="119"/>
      <c r="D123" s="347"/>
      <c r="E123" s="99"/>
      <c r="F123" s="347"/>
      <c r="G123" s="322"/>
      <c r="H123" s="119"/>
    </row>
    <row r="124" spans="2:8" x14ac:dyDescent="0.35">
      <c r="B124" s="517"/>
      <c r="C124" s="119"/>
      <c r="D124" s="347"/>
      <c r="E124" s="99"/>
      <c r="F124" s="347"/>
      <c r="G124" s="322"/>
      <c r="H124" s="119"/>
    </row>
    <row r="125" spans="2:8" x14ac:dyDescent="0.35">
      <c r="B125" s="517"/>
      <c r="C125" s="119"/>
      <c r="D125" s="347"/>
      <c r="E125" s="99"/>
      <c r="F125" s="347"/>
      <c r="G125" s="322"/>
      <c r="H125" s="119"/>
    </row>
    <row r="126" spans="2:8" x14ac:dyDescent="0.35">
      <c r="B126" s="517"/>
      <c r="C126" s="119"/>
      <c r="D126" s="347"/>
      <c r="E126" s="99"/>
      <c r="F126" s="347"/>
      <c r="G126" s="322"/>
      <c r="H126" s="119"/>
    </row>
    <row r="127" spans="2:8" x14ac:dyDescent="0.35">
      <c r="B127" s="517"/>
      <c r="C127" s="119"/>
      <c r="D127" s="347"/>
      <c r="E127" s="99"/>
      <c r="F127" s="347"/>
      <c r="G127" s="322"/>
      <c r="H127" s="119"/>
    </row>
    <row r="128" spans="2:8" x14ac:dyDescent="0.35">
      <c r="B128" s="517"/>
      <c r="C128" s="119"/>
      <c r="D128" s="347"/>
      <c r="E128" s="99"/>
      <c r="F128" s="347"/>
      <c r="G128" s="322"/>
      <c r="H128" s="119"/>
    </row>
    <row r="129" spans="2:8" x14ac:dyDescent="0.35">
      <c r="B129" s="517"/>
      <c r="C129" s="119"/>
      <c r="D129" s="347"/>
      <c r="E129" s="99"/>
      <c r="F129" s="347"/>
      <c r="G129" s="322"/>
      <c r="H129" s="119"/>
    </row>
    <row r="130" spans="2:8" x14ac:dyDescent="0.35">
      <c r="B130" s="517"/>
      <c r="C130" s="119"/>
      <c r="D130" s="347"/>
      <c r="E130" s="99"/>
      <c r="F130" s="347"/>
      <c r="G130" s="322"/>
      <c r="H130" s="119"/>
    </row>
    <row r="131" spans="2:8" x14ac:dyDescent="0.35">
      <c r="B131" s="348"/>
      <c r="C131" s="69"/>
      <c r="D131" s="347"/>
      <c r="E131" s="99"/>
      <c r="F131" s="347"/>
      <c r="G131" s="322"/>
      <c r="H131" s="119"/>
    </row>
    <row r="132" spans="2:8" x14ac:dyDescent="0.35">
      <c r="B132" s="348"/>
      <c r="C132" s="69"/>
      <c r="D132" s="347"/>
      <c r="E132" s="99"/>
      <c r="F132" s="347"/>
      <c r="G132" s="322"/>
      <c r="H132" s="119"/>
    </row>
    <row r="133" spans="2:8" x14ac:dyDescent="0.35">
      <c r="B133" s="348"/>
      <c r="C133" s="69"/>
      <c r="D133" s="347"/>
      <c r="E133" s="99"/>
      <c r="F133" s="347"/>
      <c r="G133" s="322"/>
      <c r="H133" s="119"/>
    </row>
    <row r="134" spans="2:8" x14ac:dyDescent="0.35">
      <c r="B134" s="348"/>
      <c r="C134" s="69"/>
      <c r="D134" s="347"/>
      <c r="E134" s="99"/>
      <c r="F134" s="347"/>
      <c r="G134" s="322"/>
      <c r="H134" s="119"/>
    </row>
    <row r="135" spans="2:8" x14ac:dyDescent="0.35">
      <c r="B135" s="348"/>
      <c r="C135" s="69"/>
      <c r="D135" s="347"/>
      <c r="E135" s="99"/>
      <c r="F135" s="347"/>
      <c r="G135" s="322"/>
      <c r="H135" s="119"/>
    </row>
    <row r="136" spans="2:8" x14ac:dyDescent="0.35">
      <c r="B136" s="348"/>
      <c r="C136" s="69"/>
      <c r="D136" s="347"/>
      <c r="E136" s="99"/>
      <c r="F136" s="347"/>
      <c r="G136" s="322"/>
      <c r="H136" s="119"/>
    </row>
    <row r="137" spans="2:8" x14ac:dyDescent="0.35">
      <c r="B137" s="348"/>
      <c r="C137" s="69"/>
      <c r="D137" s="347"/>
      <c r="E137" s="99"/>
      <c r="F137" s="347"/>
      <c r="G137" s="322"/>
      <c r="H137" s="119"/>
    </row>
    <row r="138" spans="2:8" x14ac:dyDescent="0.35">
      <c r="B138" s="348"/>
      <c r="C138" s="69"/>
      <c r="D138" s="347"/>
      <c r="E138" s="99"/>
      <c r="F138" s="347"/>
      <c r="G138" s="322"/>
      <c r="H138" s="119"/>
    </row>
    <row r="139" spans="2:8" x14ac:dyDescent="0.35">
      <c r="B139" s="348"/>
      <c r="C139" s="69"/>
      <c r="D139" s="347"/>
      <c r="E139" s="99"/>
      <c r="F139" s="347"/>
      <c r="G139" s="322"/>
      <c r="H139" s="119"/>
    </row>
    <row r="140" spans="2:8" x14ac:dyDescent="0.35">
      <c r="B140" s="348"/>
      <c r="C140" s="69"/>
      <c r="D140" s="347"/>
      <c r="E140" s="99"/>
      <c r="F140" s="347"/>
      <c r="G140" s="322"/>
      <c r="H140" s="119"/>
    </row>
    <row r="141" spans="2:8" x14ac:dyDescent="0.35">
      <c r="B141" s="348"/>
      <c r="C141" s="69"/>
      <c r="D141" s="347"/>
      <c r="E141" s="99"/>
      <c r="F141" s="347"/>
      <c r="G141" s="322"/>
      <c r="H141" s="119"/>
    </row>
    <row r="142" spans="2:8" x14ac:dyDescent="0.35">
      <c r="B142" s="348"/>
      <c r="C142" s="69"/>
      <c r="D142" s="347"/>
      <c r="E142" s="99"/>
      <c r="F142" s="347"/>
      <c r="G142" s="322"/>
      <c r="H142" s="119"/>
    </row>
    <row r="143" spans="2:8" x14ac:dyDescent="0.35">
      <c r="B143" s="348"/>
      <c r="C143" s="69"/>
      <c r="D143" s="347"/>
      <c r="E143" s="99"/>
      <c r="F143" s="347"/>
      <c r="G143" s="322"/>
      <c r="H143" s="119"/>
    </row>
    <row r="144" spans="2:8" x14ac:dyDescent="0.35">
      <c r="B144" s="348"/>
      <c r="C144" s="69"/>
      <c r="D144" s="347"/>
      <c r="E144" s="99"/>
      <c r="F144" s="347"/>
      <c r="G144" s="322"/>
      <c r="H144" s="119"/>
    </row>
    <row r="145" spans="2:8" x14ac:dyDescent="0.35">
      <c r="B145" s="348"/>
      <c r="C145" s="69"/>
      <c r="D145" s="347"/>
      <c r="E145" s="99"/>
      <c r="F145" s="347"/>
    </row>
    <row r="146" spans="2:8" x14ac:dyDescent="0.35">
      <c r="B146" s="348"/>
      <c r="C146" s="69"/>
      <c r="D146" s="347"/>
      <c r="E146" s="99"/>
      <c r="F146" s="347"/>
      <c r="G146" s="322"/>
      <c r="H146" s="119"/>
    </row>
    <row r="147" spans="2:8" x14ac:dyDescent="0.35">
      <c r="B147" s="348"/>
      <c r="C147" s="69"/>
      <c r="D147" s="347"/>
      <c r="E147" s="99"/>
      <c r="F147" s="347"/>
      <c r="G147" s="322"/>
      <c r="H147" s="119"/>
    </row>
    <row r="148" spans="2:8" x14ac:dyDescent="0.35">
      <c r="B148" s="348"/>
      <c r="C148" s="69"/>
      <c r="D148" s="347"/>
      <c r="E148" s="99"/>
      <c r="F148" s="347"/>
      <c r="G148" s="322"/>
      <c r="H148" s="119"/>
    </row>
    <row r="149" spans="2:8" x14ac:dyDescent="0.35">
      <c r="B149" s="348"/>
      <c r="C149" s="69"/>
      <c r="D149" s="347"/>
      <c r="E149" s="99"/>
      <c r="F149" s="347"/>
      <c r="G149" s="322"/>
      <c r="H149" s="119"/>
    </row>
    <row r="150" spans="2:8" x14ac:dyDescent="0.35">
      <c r="B150" s="348"/>
      <c r="C150" s="69"/>
      <c r="D150" s="347"/>
      <c r="E150" s="99"/>
      <c r="F150" s="347"/>
      <c r="G150" s="322"/>
      <c r="H150" s="119"/>
    </row>
    <row r="151" spans="2:8" x14ac:dyDescent="0.35">
      <c r="B151" s="348"/>
      <c r="C151" s="69"/>
      <c r="D151" s="347"/>
      <c r="E151" s="99"/>
      <c r="F151" s="347"/>
      <c r="G151" s="322"/>
      <c r="H151" s="119"/>
    </row>
    <row r="152" spans="2:8" x14ac:dyDescent="0.35">
      <c r="B152" s="348"/>
      <c r="C152" s="69"/>
      <c r="D152" s="347"/>
      <c r="E152" s="99"/>
      <c r="F152" s="347"/>
      <c r="G152" s="322"/>
      <c r="H152" s="119"/>
    </row>
    <row r="153" spans="2:8" x14ac:dyDescent="0.35">
      <c r="B153" s="348"/>
      <c r="C153" s="69"/>
      <c r="D153" s="347"/>
      <c r="E153" s="99"/>
      <c r="F153" s="347"/>
      <c r="G153" s="322"/>
      <c r="H153" s="119"/>
    </row>
    <row r="154" spans="2:8" x14ac:dyDescent="0.35">
      <c r="B154" s="348"/>
      <c r="C154" s="69"/>
      <c r="D154" s="347"/>
      <c r="E154" s="99"/>
      <c r="F154" s="347"/>
      <c r="G154" s="322"/>
      <c r="H154" s="119"/>
    </row>
    <row r="155" spans="2:8" x14ac:dyDescent="0.35">
      <c r="B155" s="348"/>
      <c r="C155" s="69"/>
      <c r="D155" s="347"/>
      <c r="E155" s="99"/>
      <c r="F155" s="347"/>
      <c r="G155" s="322"/>
      <c r="H155" s="119"/>
    </row>
    <row r="156" spans="2:8" x14ac:dyDescent="0.35">
      <c r="B156" s="348"/>
      <c r="C156" s="69"/>
      <c r="D156" s="347"/>
      <c r="E156" s="99"/>
      <c r="F156" s="347"/>
      <c r="G156" s="322"/>
      <c r="H156" s="119"/>
    </row>
    <row r="157" spans="2:8" x14ac:dyDescent="0.35">
      <c r="B157" s="348"/>
      <c r="C157" s="69"/>
      <c r="D157" s="347"/>
      <c r="E157" s="99"/>
      <c r="F157" s="347"/>
      <c r="G157" s="322"/>
      <c r="H157" s="119"/>
    </row>
    <row r="158" spans="2:8" x14ac:dyDescent="0.35">
      <c r="B158" s="348"/>
      <c r="C158" s="69"/>
      <c r="D158" s="347"/>
      <c r="E158" s="99"/>
      <c r="F158" s="347"/>
      <c r="G158" s="322"/>
      <c r="H158" s="119"/>
    </row>
    <row r="159" spans="2:8" x14ac:dyDescent="0.35">
      <c r="B159" s="348"/>
      <c r="C159" s="69"/>
      <c r="D159" s="347"/>
      <c r="E159" s="99"/>
      <c r="F159" s="347"/>
      <c r="G159" s="322"/>
      <c r="H159" s="119"/>
    </row>
    <row r="160" spans="2:8" x14ac:dyDescent="0.35">
      <c r="B160" s="348"/>
      <c r="C160" s="69"/>
      <c r="D160" s="347"/>
      <c r="E160" s="99"/>
      <c r="F160" s="347"/>
      <c r="G160" s="322"/>
      <c r="H160" s="119"/>
    </row>
    <row r="161" spans="2:8" x14ac:dyDescent="0.35">
      <c r="B161" s="348"/>
      <c r="C161" s="69"/>
      <c r="D161" s="347"/>
      <c r="E161" s="99"/>
      <c r="F161" s="347"/>
      <c r="G161" s="322"/>
      <c r="H161" s="119"/>
    </row>
    <row r="162" spans="2:8" x14ac:dyDescent="0.35">
      <c r="B162" s="348"/>
      <c r="C162" s="69"/>
      <c r="D162" s="347"/>
      <c r="E162" s="99"/>
      <c r="F162" s="347"/>
      <c r="G162" s="322"/>
      <c r="H162" s="119"/>
    </row>
    <row r="163" spans="2:8" x14ac:dyDescent="0.35">
      <c r="B163" s="348"/>
      <c r="C163" s="69"/>
      <c r="D163" s="347"/>
      <c r="E163" s="99"/>
      <c r="F163" s="347"/>
      <c r="G163" s="322"/>
      <c r="H163" s="119"/>
    </row>
    <row r="164" spans="2:8" x14ac:dyDescent="0.35">
      <c r="B164" s="348"/>
      <c r="C164" s="69"/>
      <c r="D164" s="347"/>
      <c r="E164" s="99"/>
      <c r="F164" s="347"/>
      <c r="G164" s="322"/>
      <c r="H164" s="119"/>
    </row>
    <row r="165" spans="2:8" x14ac:dyDescent="0.35">
      <c r="B165" s="348"/>
      <c r="C165" s="69"/>
      <c r="D165" s="347"/>
      <c r="E165" s="99"/>
      <c r="F165" s="347"/>
      <c r="G165" s="322"/>
      <c r="H165" s="119"/>
    </row>
    <row r="166" spans="2:8" x14ac:dyDescent="0.35">
      <c r="B166" s="348"/>
      <c r="C166" s="69"/>
      <c r="D166" s="347"/>
      <c r="E166" s="99"/>
      <c r="F166" s="347"/>
      <c r="G166" s="322"/>
      <c r="H166" s="119"/>
    </row>
    <row r="167" spans="2:8" x14ac:dyDescent="0.35">
      <c r="B167" s="348"/>
      <c r="C167" s="69"/>
      <c r="D167" s="347"/>
      <c r="E167" s="99"/>
      <c r="F167" s="347"/>
      <c r="G167" s="322"/>
      <c r="H167" s="119"/>
    </row>
    <row r="168" spans="2:8" x14ac:dyDescent="0.35">
      <c r="B168" s="348"/>
      <c r="C168" s="69"/>
      <c r="D168" s="347"/>
      <c r="E168" s="99"/>
      <c r="F168" s="347"/>
      <c r="G168" s="322"/>
      <c r="H168" s="119"/>
    </row>
    <row r="169" spans="2:8" x14ac:dyDescent="0.35">
      <c r="B169" s="348"/>
      <c r="C169" s="69"/>
      <c r="D169" s="347"/>
      <c r="E169" s="99"/>
      <c r="F169" s="347"/>
      <c r="G169" s="322"/>
      <c r="H169" s="119"/>
    </row>
    <row r="170" spans="2:8" x14ac:dyDescent="0.35">
      <c r="B170" s="348"/>
      <c r="C170" s="69"/>
      <c r="D170" s="347"/>
      <c r="E170" s="99"/>
      <c r="F170" s="347"/>
      <c r="G170" s="322"/>
      <c r="H170" s="119"/>
    </row>
    <row r="171" spans="2:8" x14ac:dyDescent="0.35">
      <c r="B171" s="348"/>
      <c r="C171" s="69"/>
      <c r="D171" s="347"/>
      <c r="E171" s="99"/>
      <c r="F171" s="347"/>
      <c r="G171" s="322"/>
      <c r="H171" s="119"/>
    </row>
    <row r="172" spans="2:8" x14ac:dyDescent="0.35">
      <c r="B172" s="348"/>
      <c r="C172" s="69"/>
      <c r="D172" s="347"/>
      <c r="E172" s="99"/>
      <c r="F172" s="347"/>
      <c r="G172" s="322"/>
      <c r="H172" s="119"/>
    </row>
    <row r="173" spans="2:8" x14ac:dyDescent="0.35">
      <c r="B173" s="348"/>
      <c r="C173" s="69"/>
      <c r="D173" s="347"/>
      <c r="E173" s="99"/>
      <c r="F173" s="347"/>
      <c r="G173" s="322"/>
      <c r="H173" s="119"/>
    </row>
    <row r="174" spans="2:8" x14ac:dyDescent="0.35">
      <c r="B174" s="348"/>
      <c r="C174" s="69"/>
      <c r="D174" s="347"/>
      <c r="E174" s="99"/>
      <c r="F174" s="347"/>
      <c r="G174" s="322"/>
      <c r="H174" s="119"/>
    </row>
    <row r="175" spans="2:8" x14ac:dyDescent="0.35">
      <c r="B175" s="348"/>
      <c r="C175" s="69"/>
      <c r="D175" s="347"/>
      <c r="E175" s="99"/>
      <c r="F175" s="347"/>
      <c r="G175" s="322"/>
      <c r="H175" s="119"/>
    </row>
    <row r="176" spans="2:8" x14ac:dyDescent="0.35">
      <c r="B176" s="348"/>
      <c r="C176" s="69"/>
      <c r="D176" s="347"/>
      <c r="E176" s="99"/>
      <c r="F176" s="347"/>
      <c r="G176" s="322"/>
      <c r="H176" s="119"/>
    </row>
    <row r="177" spans="2:8" x14ac:dyDescent="0.35">
      <c r="B177" s="348"/>
      <c r="C177" s="69"/>
      <c r="D177" s="347"/>
      <c r="E177" s="99"/>
      <c r="F177" s="347"/>
      <c r="G177" s="322"/>
      <c r="H177" s="119"/>
    </row>
    <row r="178" spans="2:8" x14ac:dyDescent="0.35">
      <c r="B178" s="348"/>
      <c r="C178" s="69"/>
      <c r="D178" s="347"/>
      <c r="E178" s="99"/>
      <c r="F178" s="347"/>
      <c r="G178" s="322"/>
      <c r="H178" s="119"/>
    </row>
    <row r="179" spans="2:8" x14ac:dyDescent="0.35">
      <c r="B179" s="348"/>
      <c r="C179" s="69"/>
      <c r="D179" s="347"/>
      <c r="E179" s="99"/>
      <c r="F179" s="347"/>
      <c r="G179" s="322"/>
      <c r="H179" s="119"/>
    </row>
    <row r="180" spans="2:8" x14ac:dyDescent="0.35">
      <c r="B180" s="348"/>
      <c r="C180" s="69"/>
      <c r="D180" s="347"/>
      <c r="E180" s="99"/>
      <c r="F180" s="347"/>
      <c r="G180" s="322"/>
      <c r="H180" s="119"/>
    </row>
    <row r="181" spans="2:8" x14ac:dyDescent="0.35">
      <c r="B181" s="348"/>
      <c r="C181" s="69"/>
      <c r="D181" s="347"/>
      <c r="E181" s="99"/>
      <c r="F181" s="347"/>
      <c r="G181" s="322"/>
      <c r="H181" s="119"/>
    </row>
    <row r="182" spans="2:8" x14ac:dyDescent="0.35">
      <c r="B182" s="348"/>
      <c r="C182" s="69"/>
      <c r="D182" s="347"/>
      <c r="E182" s="99"/>
      <c r="F182" s="347"/>
      <c r="G182" s="322"/>
      <c r="H182" s="119"/>
    </row>
    <row r="183" spans="2:8" x14ac:dyDescent="0.35">
      <c r="B183" s="348"/>
      <c r="C183" s="69"/>
      <c r="D183" s="347"/>
      <c r="E183" s="99"/>
      <c r="F183" s="347"/>
      <c r="G183" s="322"/>
      <c r="H183" s="119"/>
    </row>
    <row r="184" spans="2:8" x14ac:dyDescent="0.35">
      <c r="B184" s="348"/>
      <c r="C184" s="69"/>
      <c r="D184" s="347"/>
      <c r="E184" s="99"/>
      <c r="F184" s="347"/>
      <c r="G184" s="322"/>
      <c r="H184" s="119"/>
    </row>
    <row r="185" spans="2:8" x14ac:dyDescent="0.35">
      <c r="B185" s="348"/>
      <c r="C185" s="69"/>
      <c r="D185" s="347"/>
      <c r="E185" s="99"/>
      <c r="F185" s="347"/>
      <c r="G185" s="322"/>
      <c r="H185" s="119"/>
    </row>
    <row r="186" spans="2:8" x14ac:dyDescent="0.35">
      <c r="B186" s="348"/>
      <c r="C186" s="69"/>
      <c r="D186" s="347"/>
      <c r="E186" s="99"/>
      <c r="F186" s="347"/>
      <c r="G186" s="322"/>
      <c r="H186" s="119"/>
    </row>
    <row r="187" spans="2:8" x14ac:dyDescent="0.35">
      <c r="B187" s="348"/>
      <c r="C187" s="69"/>
      <c r="D187" s="347"/>
      <c r="E187" s="99"/>
      <c r="F187" s="347"/>
      <c r="G187" s="322"/>
      <c r="H187" s="119"/>
    </row>
    <row r="188" spans="2:8" x14ac:dyDescent="0.35">
      <c r="B188" s="348"/>
      <c r="C188" s="69"/>
      <c r="D188" s="347"/>
      <c r="E188" s="99"/>
      <c r="F188" s="347"/>
      <c r="G188" s="322"/>
      <c r="H188" s="119"/>
    </row>
    <row r="189" spans="2:8" x14ac:dyDescent="0.35">
      <c r="B189" s="348"/>
      <c r="C189" s="69"/>
      <c r="D189" s="347"/>
      <c r="E189" s="99"/>
      <c r="F189" s="347"/>
      <c r="G189" s="322"/>
      <c r="H189" s="119"/>
    </row>
    <row r="190" spans="2:8" x14ac:dyDescent="0.35">
      <c r="B190" s="348"/>
      <c r="C190" s="69"/>
      <c r="D190" s="347"/>
      <c r="E190" s="99"/>
      <c r="F190" s="347"/>
      <c r="G190" s="322"/>
      <c r="H190" s="119"/>
    </row>
    <row r="191" spans="2:8" x14ac:dyDescent="0.35">
      <c r="B191" s="348"/>
      <c r="C191" s="69"/>
      <c r="D191" s="347"/>
      <c r="E191" s="99"/>
      <c r="F191" s="347"/>
      <c r="G191" s="322"/>
      <c r="H191" s="119"/>
    </row>
    <row r="192" spans="2:8" x14ac:dyDescent="0.35">
      <c r="B192" s="348"/>
      <c r="C192" s="69"/>
      <c r="D192" s="347"/>
      <c r="E192" s="99"/>
      <c r="F192" s="347"/>
      <c r="G192" s="322"/>
      <c r="H192" s="119"/>
    </row>
    <row r="193" spans="2:8" x14ac:dyDescent="0.35">
      <c r="B193" s="348"/>
      <c r="C193" s="69"/>
      <c r="D193" s="347"/>
      <c r="E193" s="99"/>
      <c r="F193" s="347"/>
      <c r="G193" s="322"/>
      <c r="H193" s="119"/>
    </row>
    <row r="194" spans="2:8" x14ac:dyDescent="0.35">
      <c r="B194" s="348"/>
      <c r="C194" s="69"/>
      <c r="D194" s="347"/>
      <c r="E194" s="99"/>
      <c r="F194" s="347"/>
      <c r="G194" s="322"/>
      <c r="H194" s="119"/>
    </row>
    <row r="195" spans="2:8" x14ac:dyDescent="0.35">
      <c r="B195" s="348"/>
      <c r="C195" s="69"/>
      <c r="D195" s="347"/>
      <c r="E195" s="99"/>
      <c r="F195" s="347"/>
      <c r="G195" s="322"/>
      <c r="H195" s="119"/>
    </row>
    <row r="196" spans="2:8" x14ac:dyDescent="0.35">
      <c r="B196" s="348"/>
      <c r="C196" s="69"/>
      <c r="D196" s="347"/>
      <c r="E196" s="99"/>
      <c r="F196" s="347"/>
      <c r="G196" s="322"/>
      <c r="H196" s="119"/>
    </row>
    <row r="197" spans="2:8" x14ac:dyDescent="0.35">
      <c r="B197" s="348"/>
      <c r="C197" s="69"/>
      <c r="D197" s="347"/>
      <c r="E197" s="99"/>
      <c r="F197" s="347"/>
      <c r="G197" s="322"/>
      <c r="H197" s="119"/>
    </row>
    <row r="198" spans="2:8" x14ac:dyDescent="0.35">
      <c r="B198" s="348"/>
      <c r="C198" s="69"/>
      <c r="D198" s="347"/>
      <c r="E198" s="99"/>
      <c r="F198" s="347"/>
      <c r="G198" s="322"/>
      <c r="H198" s="119"/>
    </row>
    <row r="199" spans="2:8" x14ac:dyDescent="0.35">
      <c r="B199" s="348"/>
      <c r="C199" s="69"/>
      <c r="D199" s="347"/>
      <c r="E199" s="99"/>
      <c r="F199" s="347"/>
      <c r="G199" s="322"/>
      <c r="H199" s="119"/>
    </row>
    <row r="200" spans="2:8" x14ac:dyDescent="0.35">
      <c r="B200" s="348"/>
      <c r="C200" s="69"/>
      <c r="D200" s="347"/>
      <c r="E200" s="99"/>
      <c r="F200" s="347"/>
      <c r="G200" s="322"/>
      <c r="H200" s="119"/>
    </row>
    <row r="201" spans="2:8" x14ac:dyDescent="0.35">
      <c r="E201" s="99"/>
      <c r="G201" s="322"/>
      <c r="H201" s="119"/>
    </row>
    <row r="202" spans="2:8" x14ac:dyDescent="0.35">
      <c r="E202" s="99"/>
      <c r="G202" s="322"/>
      <c r="H202" s="119"/>
    </row>
    <row r="203" spans="2:8" x14ac:dyDescent="0.35">
      <c r="E203" s="99"/>
      <c r="G203" s="322"/>
      <c r="H203" s="119"/>
    </row>
    <row r="204" spans="2:8" x14ac:dyDescent="0.35">
      <c r="E204" s="99"/>
      <c r="G204" s="322"/>
      <c r="H204" s="119"/>
    </row>
    <row r="205" spans="2:8" x14ac:dyDescent="0.35">
      <c r="E205" s="99"/>
      <c r="G205" s="322"/>
      <c r="H205" s="119"/>
    </row>
    <row r="206" spans="2:8" x14ac:dyDescent="0.35">
      <c r="E206" s="99"/>
      <c r="G206" s="322"/>
      <c r="H206" s="119"/>
    </row>
    <row r="207" spans="2:8" x14ac:dyDescent="0.35">
      <c r="E207" s="99"/>
      <c r="G207" s="322"/>
      <c r="H207" s="119"/>
    </row>
    <row r="208" spans="2:8" x14ac:dyDescent="0.35">
      <c r="E208" s="99"/>
      <c r="G208" s="322"/>
      <c r="H208" s="119"/>
    </row>
    <row r="209" spans="5:8" x14ac:dyDescent="0.35">
      <c r="E209" s="99"/>
      <c r="G209" s="322"/>
      <c r="H209" s="119"/>
    </row>
    <row r="210" spans="5:8" x14ac:dyDescent="0.35">
      <c r="E210" s="99"/>
      <c r="G210" s="322"/>
      <c r="H210" s="119"/>
    </row>
    <row r="211" spans="5:8" x14ac:dyDescent="0.35">
      <c r="E211" s="99"/>
      <c r="G211" s="322"/>
      <c r="H211" s="119"/>
    </row>
    <row r="212" spans="5:8" x14ac:dyDescent="0.35">
      <c r="E212" s="99"/>
      <c r="G212" s="322"/>
      <c r="H212" s="119"/>
    </row>
    <row r="213" spans="5:8" x14ac:dyDescent="0.35">
      <c r="E213" s="99"/>
      <c r="G213" s="322"/>
      <c r="H213" s="119"/>
    </row>
    <row r="214" spans="5:8" x14ac:dyDescent="0.35">
      <c r="E214" s="99"/>
      <c r="G214" s="322"/>
      <c r="H214" s="119"/>
    </row>
    <row r="215" spans="5:8" x14ac:dyDescent="0.35">
      <c r="E215" s="99"/>
    </row>
    <row r="216" spans="5:8" x14ac:dyDescent="0.35">
      <c r="E216" s="99"/>
    </row>
    <row r="217" spans="5:8" x14ac:dyDescent="0.35">
      <c r="E217" s="99"/>
    </row>
    <row r="218" spans="5:8" x14ac:dyDescent="0.35">
      <c r="E218" s="99"/>
    </row>
    <row r="219" spans="5:8" x14ac:dyDescent="0.35">
      <c r="E219" s="99"/>
    </row>
    <row r="220" spans="5:8" x14ac:dyDescent="0.35">
      <c r="E220" s="99"/>
    </row>
    <row r="221" spans="5:8" x14ac:dyDescent="0.35">
      <c r="E221" s="99"/>
    </row>
    <row r="222" spans="5:8" x14ac:dyDescent="0.35">
      <c r="E222" s="99"/>
    </row>
    <row r="223" spans="5:8" x14ac:dyDescent="0.35">
      <c r="E223" s="99"/>
    </row>
    <row r="224" spans="5:8" x14ac:dyDescent="0.35">
      <c r="E224" s="99"/>
    </row>
    <row r="225" spans="5:5" x14ac:dyDescent="0.35">
      <c r="E225" s="99"/>
    </row>
    <row r="226" spans="5:5" x14ac:dyDescent="0.35">
      <c r="E226" s="99"/>
    </row>
    <row r="227" spans="5:5" x14ac:dyDescent="0.35">
      <c r="E227" s="99"/>
    </row>
    <row r="228" spans="5:5" x14ac:dyDescent="0.35">
      <c r="E228" s="99"/>
    </row>
    <row r="229" spans="5:5" x14ac:dyDescent="0.35">
      <c r="E229" s="99"/>
    </row>
    <row r="230" spans="5:5" x14ac:dyDescent="0.35">
      <c r="E230" s="99"/>
    </row>
    <row r="231" spans="5:5" x14ac:dyDescent="0.35">
      <c r="E231" s="99"/>
    </row>
    <row r="232" spans="5:5" x14ac:dyDescent="0.35">
      <c r="E232" s="99"/>
    </row>
    <row r="233" spans="5:5" x14ac:dyDescent="0.35">
      <c r="E233" s="99"/>
    </row>
    <row r="234" spans="5:5" x14ac:dyDescent="0.35">
      <c r="E234" s="99"/>
    </row>
    <row r="235" spans="5:5" x14ac:dyDescent="0.35">
      <c r="E235" s="99"/>
    </row>
    <row r="236" spans="5:5" x14ac:dyDescent="0.35">
      <c r="E236" s="99"/>
    </row>
    <row r="237" spans="5:5" x14ac:dyDescent="0.35">
      <c r="E237" s="99"/>
    </row>
    <row r="238" spans="5:5" x14ac:dyDescent="0.35">
      <c r="E238" s="99"/>
    </row>
    <row r="239" spans="5:5" x14ac:dyDescent="0.35">
      <c r="E239" s="99"/>
    </row>
    <row r="240" spans="5:5" x14ac:dyDescent="0.35">
      <c r="E240" s="99"/>
    </row>
    <row r="241" spans="5:5" x14ac:dyDescent="0.35">
      <c r="E241" s="99"/>
    </row>
    <row r="242" spans="5:5" x14ac:dyDescent="0.35">
      <c r="E242" s="99"/>
    </row>
    <row r="243" spans="5:5" x14ac:dyDescent="0.35">
      <c r="E243" s="99"/>
    </row>
    <row r="244" spans="5:5" x14ac:dyDescent="0.35">
      <c r="E244" s="99"/>
    </row>
    <row r="245" spans="5:5" x14ac:dyDescent="0.35">
      <c r="E245" s="99"/>
    </row>
    <row r="246" spans="5:5" x14ac:dyDescent="0.35">
      <c r="E246" s="99"/>
    </row>
    <row r="247" spans="5:5" x14ac:dyDescent="0.35">
      <c r="E247" s="99"/>
    </row>
    <row r="248" spans="5:5" x14ac:dyDescent="0.35">
      <c r="E248" s="99"/>
    </row>
    <row r="249" spans="5:5" x14ac:dyDescent="0.35">
      <c r="E249" s="99"/>
    </row>
    <row r="250" spans="5:5" x14ac:dyDescent="0.35">
      <c r="E250" s="99"/>
    </row>
    <row r="251" spans="5:5" x14ac:dyDescent="0.35">
      <c r="E251" s="99"/>
    </row>
  </sheetData>
  <conditionalFormatting sqref="D1:D3 D6:D1048576">
    <cfRule type="cellIs" dxfId="3" priority="3" operator="lessThan">
      <formula>0</formula>
    </cfRule>
    <cfRule type="cellIs" dxfId="2" priority="4" operator="greaterThan">
      <formula>0</formula>
    </cfRule>
  </conditionalFormatting>
  <conditionalFormatting sqref="F1:F3 F6:F1048576">
    <cfRule type="cellIs" dxfId="1" priority="1" operator="lessThan">
      <formula>0</formula>
    </cfRule>
    <cfRule type="cellIs" dxfId="0" priority="2" operator="greaterThan">
      <formula>0</formula>
    </cfRule>
  </conditionalFormatting>
  <pageMargins left="0.7" right="0.7" top="0.75" bottom="0.75" header="0.3" footer="0.3"/>
  <pageSetup orientation="portrait" r:id="rId1"/>
  <ignoredErrors>
    <ignoredError sqref="K6:K7"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Assumptions</vt:lpstr>
      <vt:lpstr>Historical </vt:lpstr>
      <vt:lpstr>Model</vt:lpstr>
      <vt:lpstr>Ratio Analysis</vt:lpstr>
      <vt:lpstr>Summary</vt:lpstr>
      <vt:lpstr>Scenarios</vt:lpstr>
      <vt:lpstr>Comp</vt:lpstr>
      <vt:lpstr>Comps Data</vt:lpstr>
      <vt:lpstr>Market Data</vt:lpstr>
      <vt:lpstr>WACC</vt:lpstr>
      <vt:lpstr>Beta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kashish thakur</dc:creator>
  <cp:lastModifiedBy>kashish thakur</cp:lastModifiedBy>
  <dcterms:created xsi:type="dcterms:W3CDTF">2026-03-10T14:19:19Z</dcterms:created>
  <dcterms:modified xsi:type="dcterms:W3CDTF">2026-06-01T19:16:02Z</dcterms:modified>
</cp:coreProperties>
</file>